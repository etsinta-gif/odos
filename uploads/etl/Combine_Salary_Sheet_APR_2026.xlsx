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\FCPL\Case Wise P&amp;L\17-06-2026\"/>
    </mc:Choice>
  </mc:AlternateContent>
  <xr:revisionPtr revIDLastSave="0" documentId="13_ncr:1_{F1DBC4E2-5D72-4146-AEB9-130C2CAF3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 Sheet" sheetId="1" r:id="rId1"/>
    <sheet name="Pivot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'Payroll Sheet'!$A$7:$BO$64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64" i="1" l="1"/>
  <c r="BD64" i="1" s="1"/>
  <c r="AX64" i="1"/>
  <c r="AY64" i="1" s="1"/>
  <c r="AL64" i="1"/>
  <c r="AK64" i="1"/>
  <c r="AA64" i="1"/>
  <c r="AD64" i="1" s="1"/>
  <c r="Y64" i="1"/>
  <c r="X64" i="1"/>
  <c r="BA64" i="1" l="1"/>
  <c r="AZ64" i="1" s="1"/>
  <c r="AE64" i="1"/>
  <c r="BE64" i="1"/>
  <c r="BF64" i="1" s="1"/>
  <c r="Z64" i="1"/>
  <c r="AF64" i="1"/>
  <c r="AG64" i="1"/>
  <c r="AI64" i="1" l="1"/>
  <c r="AO64" i="1" s="1"/>
  <c r="AQ64" i="1" s="1"/>
  <c r="BG64" i="1" l="1"/>
  <c r="AJ64" i="1"/>
  <c r="BC63" i="1"/>
  <c r="BE63" i="1" s="1"/>
  <c r="AX63" i="1"/>
  <c r="BA63" i="1" s="1"/>
  <c r="AL63" i="1"/>
  <c r="AK63" i="1"/>
  <c r="AA63" i="1"/>
  <c r="AD63" i="1" s="1"/>
  <c r="Y63" i="1"/>
  <c r="X63" i="1"/>
  <c r="AF63" i="1" s="1"/>
  <c r="BC62" i="1"/>
  <c r="BD62" i="1" s="1"/>
  <c r="AX62" i="1"/>
  <c r="BA62" i="1" s="1"/>
  <c r="AL62" i="1"/>
  <c r="AK62" i="1"/>
  <c r="AA62" i="1"/>
  <c r="Y62" i="1"/>
  <c r="X62" i="1"/>
  <c r="AF62" i="1" s="1"/>
  <c r="AE62" i="1" l="1"/>
  <c r="Z62" i="1"/>
  <c r="BD63" i="1"/>
  <c r="BF63" i="1" s="1"/>
  <c r="AG62" i="1"/>
  <c r="AG63" i="1"/>
  <c r="AY63" i="1"/>
  <c r="AZ63" i="1" s="1"/>
  <c r="AY62" i="1"/>
  <c r="AZ62" i="1" s="1"/>
  <c r="AD62" i="1"/>
  <c r="BE62" i="1"/>
  <c r="AE63" i="1"/>
  <c r="Z63" i="1"/>
  <c r="BB66" i="1"/>
  <c r="BC61" i="1"/>
  <c r="BE61" i="1" s="1"/>
  <c r="AX61" i="1"/>
  <c r="BA61" i="1" s="1"/>
  <c r="AC61" i="1"/>
  <c r="AD61" i="1" s="1"/>
  <c r="Y61" i="1"/>
  <c r="X61" i="1"/>
  <c r="BK60" i="1"/>
  <c r="BC60" i="1"/>
  <c r="BD60" i="1" s="1"/>
  <c r="AX60" i="1"/>
  <c r="AY60" i="1" s="1"/>
  <c r="AL60" i="1"/>
  <c r="AK60" i="1"/>
  <c r="AC60" i="1"/>
  <c r="Y60" i="1"/>
  <c r="X60" i="1"/>
  <c r="AF60" i="1" s="1"/>
  <c r="BK59" i="1"/>
  <c r="BC59" i="1"/>
  <c r="BD59" i="1" s="1"/>
  <c r="AX59" i="1"/>
  <c r="AY59" i="1" s="1"/>
  <c r="AV59" i="1"/>
  <c r="AL59" i="1"/>
  <c r="AK59" i="1"/>
  <c r="AA59" i="1"/>
  <c r="AD59" i="1" s="1"/>
  <c r="Y59" i="1"/>
  <c r="X59" i="1"/>
  <c r="AG59" i="1" s="1"/>
  <c r="AI62" i="1" l="1"/>
  <c r="AJ62" i="1" s="1"/>
  <c r="AI63" i="1"/>
  <c r="AO63" i="1" s="1"/>
  <c r="AQ63" i="1" s="1"/>
  <c r="BF62" i="1"/>
  <c r="AG60" i="1"/>
  <c r="AG61" i="1"/>
  <c r="AE59" i="1"/>
  <c r="BE59" i="1"/>
  <c r="BF59" i="1" s="1"/>
  <c r="BD61" i="1"/>
  <c r="BF61" i="1" s="1"/>
  <c r="AF59" i="1"/>
  <c r="AD60" i="1"/>
  <c r="AY61" i="1"/>
  <c r="AZ61" i="1" s="1"/>
  <c r="Z59" i="1"/>
  <c r="BE60" i="1"/>
  <c r="BF60" i="1" s="1"/>
  <c r="BA59" i="1"/>
  <c r="AZ59" i="1" s="1"/>
  <c r="AE60" i="1"/>
  <c r="BA60" i="1"/>
  <c r="AZ60" i="1" s="1"/>
  <c r="AE61" i="1"/>
  <c r="Z60" i="1"/>
  <c r="Z61" i="1"/>
  <c r="AO62" i="1" l="1"/>
  <c r="AQ62" i="1" s="1"/>
  <c r="BG62" i="1"/>
  <c r="AI61" i="1"/>
  <c r="BG63" i="1"/>
  <c r="AJ63" i="1"/>
  <c r="AI60" i="1"/>
  <c r="AJ60" i="1" s="1"/>
  <c r="AI59" i="1"/>
  <c r="AO59" i="1" s="1"/>
  <c r="AQ59" i="1" s="1"/>
  <c r="AO61" i="1" l="1"/>
  <c r="AQ61" i="1" s="1"/>
  <c r="BG61" i="1"/>
  <c r="AJ61" i="1"/>
  <c r="BG60" i="1"/>
  <c r="AO60" i="1"/>
  <c r="AQ60" i="1" s="1"/>
  <c r="AJ59" i="1"/>
  <c r="BG59" i="1"/>
  <c r="AR71" i="1"/>
  <c r="U53" i="1" l="1"/>
  <c r="AL57" i="1" l="1"/>
  <c r="AK57" i="1"/>
  <c r="BC55" i="1"/>
  <c r="BD55" i="1" s="1"/>
  <c r="AX55" i="1"/>
  <c r="BA55" i="1" s="1"/>
  <c r="BC57" i="1"/>
  <c r="BE57" i="1" s="1"/>
  <c r="AX57" i="1"/>
  <c r="AY57" i="1" s="1"/>
  <c r="AD57" i="1"/>
  <c r="Y57" i="1"/>
  <c r="X57" i="1"/>
  <c r="AE57" i="1" s="1"/>
  <c r="AI57" i="1" s="1"/>
  <c r="BA57" i="1" l="1"/>
  <c r="AZ57" i="1" s="1"/>
  <c r="Z57" i="1"/>
  <c r="AJ57" i="1" s="1"/>
  <c r="AO57" i="1"/>
  <c r="AQ57" i="1" s="1"/>
  <c r="BE55" i="1"/>
  <c r="BF55" i="1" s="1"/>
  <c r="BD57" i="1"/>
  <c r="BF57" i="1" s="1"/>
  <c r="BG57" i="1"/>
  <c r="AY55" i="1"/>
  <c r="AZ55" i="1" s="1"/>
  <c r="BK54" i="1" l="1"/>
  <c r="BC54" i="1"/>
  <c r="BE54" i="1" s="1"/>
  <c r="AX54" i="1"/>
  <c r="BA54" i="1" s="1"/>
  <c r="AA54" i="1"/>
  <c r="AD54" i="1" s="1"/>
  <c r="Y54" i="1"/>
  <c r="X54" i="1"/>
  <c r="Z54" i="1" l="1"/>
  <c r="BD54" i="1"/>
  <c r="BF54" i="1" s="1"/>
  <c r="AY54" i="1"/>
  <c r="AZ54" i="1" s="1"/>
  <c r="AE54" i="1"/>
  <c r="AI54" i="1" s="1"/>
  <c r="BG54" i="1" l="1"/>
  <c r="AO54" i="1"/>
  <c r="AQ54" i="1" s="1"/>
  <c r="AJ54" i="1"/>
  <c r="BC56" i="1" l="1"/>
  <c r="BE56" i="1" s="1"/>
  <c r="AX56" i="1"/>
  <c r="AY56" i="1" s="1"/>
  <c r="BC58" i="1"/>
  <c r="BE58" i="1" s="1"/>
  <c r="AX58" i="1"/>
  <c r="BA58" i="1" s="1"/>
  <c r="AA58" i="1"/>
  <c r="Y58" i="1"/>
  <c r="X58" i="1"/>
  <c r="Z58" i="1" l="1"/>
  <c r="BA56" i="1"/>
  <c r="AZ56" i="1" s="1"/>
  <c r="AY58" i="1"/>
  <c r="AZ58" i="1" s="1"/>
  <c r="BD58" i="1"/>
  <c r="BF58" i="1" s="1"/>
  <c r="BD56" i="1"/>
  <c r="BF56" i="1" s="1"/>
  <c r="AE58" i="1"/>
  <c r="AI58" i="1" s="1"/>
  <c r="AD58" i="1"/>
  <c r="AJ58" i="1" l="1"/>
  <c r="AO58" i="1"/>
  <c r="AQ58" i="1" s="1"/>
  <c r="BG58" i="1"/>
  <c r="X28" i="1" l="1"/>
  <c r="BN22" i="1" l="1"/>
  <c r="AL22" i="1"/>
  <c r="AK22" i="1"/>
  <c r="AA22" i="1"/>
  <c r="Y22" i="1"/>
  <c r="X22" i="1"/>
  <c r="AF22" i="1" s="1"/>
  <c r="AG22" i="1" l="1"/>
  <c r="AE22" i="1"/>
  <c r="AD22" i="1"/>
  <c r="Z22" i="1"/>
  <c r="AI22" i="1" l="1"/>
  <c r="AO22" i="1" s="1"/>
  <c r="AQ22" i="1" s="1"/>
  <c r="BG22" i="1" l="1"/>
  <c r="AJ22" i="1"/>
  <c r="AA56" i="1" l="1"/>
  <c r="AD56" i="1" s="1"/>
  <c r="Y56" i="1"/>
  <c r="X56" i="1"/>
  <c r="AE56" i="1" l="1"/>
  <c r="AI56" i="1" s="1"/>
  <c r="Z56" i="1"/>
  <c r="AP66" i="1"/>
  <c r="AN66" i="1"/>
  <c r="AH66" i="1"/>
  <c r="AD55" i="1"/>
  <c r="X55" i="1"/>
  <c r="AE55" i="1" s="1"/>
  <c r="AI55" i="1" s="1"/>
  <c r="Y55" i="1"/>
  <c r="BG55" i="1" l="1"/>
  <c r="AO56" i="1"/>
  <c r="AQ56" i="1" s="1"/>
  <c r="BG56" i="1"/>
  <c r="AJ56" i="1"/>
  <c r="Z55" i="1"/>
  <c r="AJ55" i="1" s="1"/>
  <c r="AO55" i="1"/>
  <c r="AQ55" i="1" s="1"/>
  <c r="BK53" i="1" l="1"/>
  <c r="BK52" i="1"/>
  <c r="BK51" i="1"/>
  <c r="BK50" i="1"/>
  <c r="BK49" i="1"/>
  <c r="BK48" i="1"/>
  <c r="BK47" i="1"/>
  <c r="BK46" i="1"/>
  <c r="BK45" i="1"/>
  <c r="BK44" i="1"/>
  <c r="BK43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30" i="1"/>
  <c r="BK29" i="1"/>
  <c r="BK28" i="1"/>
  <c r="BK27" i="1"/>
  <c r="BK26" i="1"/>
  <c r="BK25" i="1"/>
  <c r="BK24" i="1"/>
  <c r="BK23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9" i="1"/>
  <c r="AD68" i="1" l="1"/>
  <c r="BC53" i="1" l="1"/>
  <c r="BE53" i="1" s="1"/>
  <c r="AX53" i="1"/>
  <c r="BA53" i="1" s="1"/>
  <c r="AL53" i="1"/>
  <c r="AK53" i="1"/>
  <c r="X53" i="1"/>
  <c r="AF53" i="1" s="1"/>
  <c r="AC53" i="1"/>
  <c r="BD53" i="1" l="1"/>
  <c r="BF53" i="1" s="1"/>
  <c r="AY53" i="1"/>
  <c r="AZ53" i="1" s="1"/>
  <c r="AD53" i="1"/>
  <c r="AG53" i="1"/>
  <c r="Y53" i="1"/>
  <c r="Z53" i="1" s="1"/>
  <c r="AE53" i="1"/>
  <c r="AI53" i="1" l="1"/>
  <c r="AM53" i="1" s="1"/>
  <c r="AJ53" i="1" l="1"/>
  <c r="AQ53" i="1"/>
  <c r="BG53" i="1"/>
  <c r="BC23" i="1" l="1"/>
  <c r="BD23" i="1" s="1"/>
  <c r="AX23" i="1"/>
  <c r="AY23" i="1" s="1"/>
  <c r="AL23" i="1"/>
  <c r="AK23" i="1"/>
  <c r="AB23" i="1"/>
  <c r="AC23" i="1" s="1"/>
  <c r="Y23" i="1"/>
  <c r="X23" i="1"/>
  <c r="AE23" i="1" s="1"/>
  <c r="BE23" i="1" l="1"/>
  <c r="Z23" i="1"/>
  <c r="BA23" i="1"/>
  <c r="AZ23" i="1" s="1"/>
  <c r="AG23" i="1"/>
  <c r="AD23" i="1"/>
  <c r="AF23" i="1"/>
  <c r="BF23" i="1" l="1"/>
  <c r="AI23" i="1"/>
  <c r="BG23" i="1" s="1"/>
  <c r="AJ23" i="1" l="1"/>
  <c r="AO23" i="1"/>
  <c r="AQ23" i="1" s="1"/>
  <c r="BA52" i="1" l="1"/>
  <c r="BF52" i="1" l="1"/>
  <c r="AD52" i="1"/>
  <c r="Y52" i="1"/>
  <c r="X52" i="1"/>
  <c r="AE52" i="1" s="1"/>
  <c r="AF52" i="1" l="1"/>
  <c r="Z52" i="1"/>
  <c r="AG52" i="1"/>
  <c r="AI52" i="1" l="1"/>
  <c r="BG52" i="1" s="1"/>
  <c r="AJ52" i="1" l="1"/>
  <c r="AO52" i="1"/>
  <c r="AQ52" i="1" s="1"/>
  <c r="BH66" i="1" l="1"/>
  <c r="BC51" i="1" l="1"/>
  <c r="BD51" i="1" s="1"/>
  <c r="AX51" i="1"/>
  <c r="BA51" i="1" s="1"/>
  <c r="AY51" i="1" l="1"/>
  <c r="AZ51" i="1" s="1"/>
  <c r="BE51" i="1"/>
  <c r="BF51" i="1" l="1"/>
  <c r="AA51" i="1" l="1"/>
  <c r="X51" i="1"/>
  <c r="Y51" i="1"/>
  <c r="AD51" i="1" l="1"/>
  <c r="AE51" i="1"/>
  <c r="AI51" i="1" s="1"/>
  <c r="BG51" i="1" s="1"/>
  <c r="Z51" i="1"/>
  <c r="AJ51" i="1" l="1"/>
  <c r="AO51" i="1"/>
  <c r="AQ51" i="1" l="1"/>
  <c r="BO66" i="1"/>
  <c r="BM66" i="1"/>
  <c r="BJ66" i="1"/>
  <c r="BC15" i="1" l="1"/>
  <c r="BD15" i="1" s="1"/>
  <c r="AX15" i="1"/>
  <c r="BA15" i="1" s="1"/>
  <c r="AL15" i="1"/>
  <c r="AK15" i="1"/>
  <c r="AA15" i="1"/>
  <c r="Y15" i="1"/>
  <c r="X15" i="1"/>
  <c r="Z15" i="1" l="1"/>
  <c r="AF15" i="1"/>
  <c r="AE15" i="1"/>
  <c r="BE15" i="1"/>
  <c r="AC15" i="1"/>
  <c r="AG15" i="1" s="1"/>
  <c r="AY15" i="1"/>
  <c r="AZ15" i="1" s="1"/>
  <c r="AI15" i="1" l="1"/>
  <c r="AJ15" i="1" s="1"/>
  <c r="AD15" i="1"/>
  <c r="BF15" i="1"/>
  <c r="AM15" i="1" l="1"/>
  <c r="AQ15" i="1" s="1"/>
  <c r="BG15" i="1"/>
  <c r="BC50" i="1" l="1"/>
  <c r="BE50" i="1" s="1"/>
  <c r="AX50" i="1"/>
  <c r="BA50" i="1" s="1"/>
  <c r="AL50" i="1"/>
  <c r="AK50" i="1"/>
  <c r="AC50" i="1"/>
  <c r="AD50" i="1" s="1"/>
  <c r="Y50" i="1"/>
  <c r="X50" i="1"/>
  <c r="AF50" i="1" s="1"/>
  <c r="BD50" i="1" l="1"/>
  <c r="BF50" i="1" s="1"/>
  <c r="AY50" i="1"/>
  <c r="AZ50" i="1" s="1"/>
  <c r="AG50" i="1"/>
  <c r="AE50" i="1"/>
  <c r="Z50" i="1"/>
  <c r="AI50" i="1" l="1"/>
  <c r="AO50" i="1" s="1"/>
  <c r="AJ50" i="1" l="1"/>
  <c r="BG50" i="1"/>
  <c r="AQ50" i="1"/>
  <c r="BC49" i="1" l="1"/>
  <c r="BD49" i="1" s="1"/>
  <c r="AX49" i="1"/>
  <c r="AY49" i="1" s="1"/>
  <c r="AK49" i="1"/>
  <c r="AA49" i="1"/>
  <c r="Y49" i="1"/>
  <c r="X49" i="1"/>
  <c r="AG49" i="1" s="1"/>
  <c r="BC48" i="1"/>
  <c r="AX48" i="1"/>
  <c r="AY48" i="1" s="1"/>
  <c r="AL48" i="1"/>
  <c r="AK48" i="1"/>
  <c r="AC48" i="1"/>
  <c r="AD48" i="1" s="1"/>
  <c r="Y48" i="1"/>
  <c r="X48" i="1"/>
  <c r="AE48" i="1" s="1"/>
  <c r="BC47" i="1"/>
  <c r="BD47" i="1" s="1"/>
  <c r="AX47" i="1"/>
  <c r="AY47" i="1" s="1"/>
  <c r="AL47" i="1"/>
  <c r="AK47" i="1"/>
  <c r="AC47" i="1"/>
  <c r="Y47" i="1"/>
  <c r="X47" i="1"/>
  <c r="AE47" i="1" s="1"/>
  <c r="BC46" i="1"/>
  <c r="AX46" i="1"/>
  <c r="AY46" i="1" s="1"/>
  <c r="AL46" i="1"/>
  <c r="AK46" i="1"/>
  <c r="AC46" i="1"/>
  <c r="AD46" i="1" s="1"/>
  <c r="Y46" i="1"/>
  <c r="X46" i="1"/>
  <c r="BC37" i="1"/>
  <c r="BD37" i="1" s="1"/>
  <c r="AX37" i="1"/>
  <c r="AC37" i="1"/>
  <c r="AD37" i="1" s="1"/>
  <c r="Y37" i="1"/>
  <c r="X37" i="1"/>
  <c r="AE37" i="1" s="1"/>
  <c r="BC36" i="1"/>
  <c r="BD36" i="1" s="1"/>
  <c r="AX36" i="1"/>
  <c r="AL36" i="1"/>
  <c r="AK36" i="1"/>
  <c r="AC36" i="1"/>
  <c r="Y36" i="1"/>
  <c r="X36" i="1"/>
  <c r="AF36" i="1" s="1"/>
  <c r="BC35" i="1"/>
  <c r="BE35" i="1" s="1"/>
  <c r="AX35" i="1"/>
  <c r="BA35" i="1" s="1"/>
  <c r="AL35" i="1"/>
  <c r="AK35" i="1"/>
  <c r="AC35" i="1"/>
  <c r="AD35" i="1" s="1"/>
  <c r="Y35" i="1"/>
  <c r="X35" i="1"/>
  <c r="AF35" i="1" s="1"/>
  <c r="BC34" i="1"/>
  <c r="BE34" i="1" s="1"/>
  <c r="AX34" i="1"/>
  <c r="AY34" i="1" s="1"/>
  <c r="AL34" i="1"/>
  <c r="AK34" i="1"/>
  <c r="AC34" i="1"/>
  <c r="AD34" i="1" s="1"/>
  <c r="Y34" i="1"/>
  <c r="X34" i="1"/>
  <c r="AF34" i="1" s="1"/>
  <c r="BC32" i="1"/>
  <c r="BE32" i="1" s="1"/>
  <c r="AX32" i="1"/>
  <c r="BA32" i="1" s="1"/>
  <c r="AL32" i="1"/>
  <c r="AK32" i="1"/>
  <c r="AC32" i="1"/>
  <c r="AD32" i="1" s="1"/>
  <c r="Y32" i="1"/>
  <c r="X32" i="1"/>
  <c r="AE32" i="1" s="1"/>
  <c r="BC31" i="1"/>
  <c r="BD31" i="1" s="1"/>
  <c r="AX31" i="1"/>
  <c r="AL31" i="1"/>
  <c r="AK31" i="1"/>
  <c r="AC31" i="1"/>
  <c r="AD31" i="1" s="1"/>
  <c r="Y31" i="1"/>
  <c r="X31" i="1"/>
  <c r="AE31" i="1" s="1"/>
  <c r="BC28" i="1"/>
  <c r="BE28" i="1" s="1"/>
  <c r="AX28" i="1"/>
  <c r="BA28" i="1" s="1"/>
  <c r="AL28" i="1"/>
  <c r="AK28" i="1"/>
  <c r="AB28" i="1"/>
  <c r="AC28" i="1" s="1"/>
  <c r="Y28" i="1"/>
  <c r="BC21" i="1"/>
  <c r="BE21" i="1" s="1"/>
  <c r="AX21" i="1"/>
  <c r="BA21" i="1" s="1"/>
  <c r="AL21" i="1"/>
  <c r="AK21" i="1"/>
  <c r="AC21" i="1"/>
  <c r="AD21" i="1" s="1"/>
  <c r="Y21" i="1"/>
  <c r="X21" i="1"/>
  <c r="AF21" i="1" s="1"/>
  <c r="BC19" i="1"/>
  <c r="BE19" i="1" s="1"/>
  <c r="AX19" i="1"/>
  <c r="BA19" i="1" s="1"/>
  <c r="AL19" i="1"/>
  <c r="AK19" i="1"/>
  <c r="AB19" i="1"/>
  <c r="X19" i="1"/>
  <c r="AE19" i="1" s="1"/>
  <c r="Y19" i="1"/>
  <c r="BN17" i="1"/>
  <c r="BC17" i="1"/>
  <c r="AX17" i="1"/>
  <c r="AL17" i="1"/>
  <c r="AK17" i="1"/>
  <c r="X17" i="1"/>
  <c r="AF17" i="1" s="1"/>
  <c r="AA17" i="1"/>
  <c r="AD36" i="1" l="1"/>
  <c r="AG36" i="1"/>
  <c r="BD17" i="1"/>
  <c r="AE46" i="1"/>
  <c r="Z46" i="1"/>
  <c r="AC19" i="1"/>
  <c r="AD19" i="1" s="1"/>
  <c r="Y17" i="1"/>
  <c r="BD34" i="1"/>
  <c r="BF34" i="1" s="1"/>
  <c r="AF47" i="1"/>
  <c r="AE35" i="1"/>
  <c r="BE47" i="1"/>
  <c r="BA34" i="1"/>
  <c r="AZ34" i="1" s="1"/>
  <c r="BA46" i="1"/>
  <c r="AZ46" i="1" s="1"/>
  <c r="Z47" i="1"/>
  <c r="AF49" i="1"/>
  <c r="BD32" i="1"/>
  <c r="BF32" i="1" s="1"/>
  <c r="AE21" i="1"/>
  <c r="AG28" i="1"/>
  <c r="Z31" i="1"/>
  <c r="BD35" i="1"/>
  <c r="BF35" i="1" s="1"/>
  <c r="AG47" i="1"/>
  <c r="AE34" i="1"/>
  <c r="BD19" i="1"/>
  <c r="BF19" i="1" s="1"/>
  <c r="BD21" i="1"/>
  <c r="BF21" i="1" s="1"/>
  <c r="BE49" i="1"/>
  <c r="BD28" i="1"/>
  <c r="BF28" i="1" s="1"/>
  <c r="AY19" i="1"/>
  <c r="AZ19" i="1" s="1"/>
  <c r="AG21" i="1"/>
  <c r="AY21" i="1"/>
  <c r="AZ21" i="1" s="1"/>
  <c r="AY28" i="1"/>
  <c r="AZ28" i="1" s="1"/>
  <c r="AY32" i="1"/>
  <c r="AZ32" i="1" s="1"/>
  <c r="AG35" i="1"/>
  <c r="AY35" i="1"/>
  <c r="AZ35" i="1" s="1"/>
  <c r="AD47" i="1"/>
  <c r="Z19" i="1"/>
  <c r="Z28" i="1"/>
  <c r="AE36" i="1"/>
  <c r="AE17" i="1"/>
  <c r="AY31" i="1"/>
  <c r="BA31" i="1"/>
  <c r="AY37" i="1"/>
  <c r="BA37" i="1"/>
  <c r="BD48" i="1"/>
  <c r="BE48" i="1"/>
  <c r="BE17" i="1"/>
  <c r="AF19" i="1"/>
  <c r="AE28" i="1"/>
  <c r="AG31" i="1"/>
  <c r="BE36" i="1"/>
  <c r="AF37" i="1"/>
  <c r="AF46" i="1"/>
  <c r="BD46" i="1"/>
  <c r="BE46" i="1"/>
  <c r="AF48" i="1"/>
  <c r="BA17" i="1"/>
  <c r="AY17" i="1"/>
  <c r="AF32" i="1"/>
  <c r="Z32" i="1"/>
  <c r="AG32" i="1"/>
  <c r="BA36" i="1"/>
  <c r="AY36" i="1"/>
  <c r="Z37" i="1"/>
  <c r="Z48" i="1"/>
  <c r="AC17" i="1"/>
  <c r="AD28" i="1"/>
  <c r="AF31" i="1"/>
  <c r="BE31" i="1"/>
  <c r="AG34" i="1"/>
  <c r="AG37" i="1"/>
  <c r="BE37" i="1"/>
  <c r="BA47" i="1"/>
  <c r="AZ47" i="1" s="1"/>
  <c r="AF28" i="1"/>
  <c r="AG46" i="1"/>
  <c r="AE49" i="1"/>
  <c r="AD49" i="1"/>
  <c r="Z21" i="1"/>
  <c r="Z34" i="1"/>
  <c r="Z35" i="1"/>
  <c r="Z36" i="1"/>
  <c r="AG48" i="1"/>
  <c r="BA48" i="1"/>
  <c r="AZ48" i="1" s="1"/>
  <c r="BA49" i="1"/>
  <c r="AZ49" i="1" s="1"/>
  <c r="Z49" i="1"/>
  <c r="BF37" i="1" l="1"/>
  <c r="BF49" i="1"/>
  <c r="BF31" i="1"/>
  <c r="BF47" i="1"/>
  <c r="Z17" i="1"/>
  <c r="AG17" i="1"/>
  <c r="AI36" i="1"/>
  <c r="AO36" i="1" s="1"/>
  <c r="AG19" i="1"/>
  <c r="AI19" i="1" s="1"/>
  <c r="AO19" i="1" s="1"/>
  <c r="AI49" i="1"/>
  <c r="AO49" i="1" s="1"/>
  <c r="AI48" i="1"/>
  <c r="AO48" i="1" s="1"/>
  <c r="AI47" i="1"/>
  <c r="AO47" i="1" s="1"/>
  <c r="AI21" i="1"/>
  <c r="AO21" i="1" s="1"/>
  <c r="AI35" i="1"/>
  <c r="AO35" i="1" s="1"/>
  <c r="AI32" i="1"/>
  <c r="AO32" i="1" s="1"/>
  <c r="AI34" i="1"/>
  <c r="AJ34" i="1" s="1"/>
  <c r="AI37" i="1"/>
  <c r="AO37" i="1" s="1"/>
  <c r="AI31" i="1"/>
  <c r="AO31" i="1" s="1"/>
  <c r="AD17" i="1"/>
  <c r="AZ17" i="1"/>
  <c r="AI46" i="1"/>
  <c r="AO46" i="1" s="1"/>
  <c r="BF36" i="1"/>
  <c r="BF46" i="1"/>
  <c r="AI28" i="1"/>
  <c r="AO28" i="1" s="1"/>
  <c r="AZ31" i="1"/>
  <c r="AZ36" i="1"/>
  <c r="BF48" i="1"/>
  <c r="AZ37" i="1"/>
  <c r="BF17" i="1"/>
  <c r="AJ37" i="1" l="1"/>
  <c r="AJ31" i="1"/>
  <c r="AJ21" i="1"/>
  <c r="AJ19" i="1"/>
  <c r="AJ47" i="1"/>
  <c r="AJ32" i="1"/>
  <c r="AJ35" i="1"/>
  <c r="AJ48" i="1"/>
  <c r="AJ46" i="1"/>
  <c r="AJ36" i="1"/>
  <c r="AJ28" i="1"/>
  <c r="AJ49" i="1"/>
  <c r="BG35" i="1"/>
  <c r="BG36" i="1"/>
  <c r="BG47" i="1"/>
  <c r="BG46" i="1"/>
  <c r="BG48" i="1"/>
  <c r="BG37" i="1"/>
  <c r="BG21" i="1"/>
  <c r="BG49" i="1"/>
  <c r="BG19" i="1"/>
  <c r="AO34" i="1"/>
  <c r="AQ34" i="1" s="1"/>
  <c r="BG34" i="1"/>
  <c r="BG32" i="1"/>
  <c r="BG31" i="1"/>
  <c r="BG28" i="1"/>
  <c r="AI17" i="1"/>
  <c r="AJ17" i="1" s="1"/>
  <c r="AM36" i="1"/>
  <c r="AQ19" i="1"/>
  <c r="AQ35" i="1"/>
  <c r="AQ31" i="1"/>
  <c r="AQ21" i="1"/>
  <c r="AQ28" i="1"/>
  <c r="AQ37" i="1"/>
  <c r="AQ32" i="1"/>
  <c r="AQ47" i="1"/>
  <c r="AQ46" i="1"/>
  <c r="AQ48" i="1"/>
  <c r="AQ49" i="1"/>
  <c r="AO17" i="1" l="1"/>
  <c r="BG17" i="1"/>
  <c r="AM17" i="1"/>
  <c r="AQ36" i="1"/>
  <c r="AQ17" i="1" l="1"/>
  <c r="BC45" i="1"/>
  <c r="AX45" i="1"/>
  <c r="AL45" i="1"/>
  <c r="AK45" i="1"/>
  <c r="AB45" i="1"/>
  <c r="Y45" i="1"/>
  <c r="X45" i="1"/>
  <c r="AE45" i="1" s="1"/>
  <c r="AY45" i="1" l="1"/>
  <c r="BD45" i="1"/>
  <c r="AC45" i="1"/>
  <c r="BA45" i="1"/>
  <c r="Z45" i="1"/>
  <c r="BE45" i="1"/>
  <c r="AF45" i="1"/>
  <c r="BF45" i="1" l="1"/>
  <c r="AZ45" i="1"/>
  <c r="AG45" i="1"/>
  <c r="AI45" i="1" s="1"/>
  <c r="AO45" i="1" s="1"/>
  <c r="AD45" i="1"/>
  <c r="AJ45" i="1" l="1"/>
  <c r="BG45" i="1"/>
  <c r="AQ45" i="1"/>
  <c r="AO66" i="1" l="1"/>
  <c r="U43" i="1" l="1"/>
  <c r="X20" i="1" l="1"/>
  <c r="X18" i="1"/>
  <c r="X16" i="1"/>
  <c r="X11" i="1"/>
  <c r="X8" i="1"/>
  <c r="U66" i="1" l="1"/>
  <c r="BC33" i="1" l="1"/>
  <c r="BD33" i="1" s="1"/>
  <c r="AX33" i="1"/>
  <c r="BA33" i="1" s="1"/>
  <c r="AL33" i="1"/>
  <c r="AK33" i="1"/>
  <c r="AB33" i="1"/>
  <c r="Y33" i="1"/>
  <c r="X33" i="1"/>
  <c r="AE33" i="1" s="1"/>
  <c r="BC27" i="1"/>
  <c r="BD27" i="1" s="1"/>
  <c r="AX27" i="1"/>
  <c r="AL27" i="1"/>
  <c r="AK27" i="1"/>
  <c r="AC27" i="1"/>
  <c r="AD27" i="1" s="1"/>
  <c r="Y27" i="1"/>
  <c r="X27" i="1"/>
  <c r="AF27" i="1" s="1"/>
  <c r="BC26" i="1"/>
  <c r="BD26" i="1" s="1"/>
  <c r="AX26" i="1"/>
  <c r="AL26" i="1"/>
  <c r="AK26" i="1"/>
  <c r="X26" i="1"/>
  <c r="AG26" i="1" s="1"/>
  <c r="AA26" i="1"/>
  <c r="BC25" i="1"/>
  <c r="BD25" i="1" s="1"/>
  <c r="AX25" i="1"/>
  <c r="AL25" i="1"/>
  <c r="AK25" i="1"/>
  <c r="AA25" i="1"/>
  <c r="Y25" i="1"/>
  <c r="X25" i="1"/>
  <c r="AG25" i="1" s="1"/>
  <c r="BC24" i="1"/>
  <c r="BD24" i="1" s="1"/>
  <c r="AX24" i="1"/>
  <c r="AL24" i="1"/>
  <c r="AK24" i="1"/>
  <c r="AD24" i="1"/>
  <c r="Y24" i="1"/>
  <c r="X24" i="1"/>
  <c r="BC20" i="1"/>
  <c r="BE20" i="1" s="1"/>
  <c r="AX20" i="1"/>
  <c r="BA20" i="1" s="1"/>
  <c r="AL20" i="1"/>
  <c r="AK20" i="1"/>
  <c r="AC20" i="1"/>
  <c r="Y20" i="1"/>
  <c r="AE20" i="1"/>
  <c r="BC18" i="1"/>
  <c r="BE18" i="1" s="1"/>
  <c r="AX18" i="1"/>
  <c r="AL18" i="1"/>
  <c r="AK18" i="1"/>
  <c r="AC18" i="1"/>
  <c r="Y18" i="1"/>
  <c r="AF18" i="1"/>
  <c r="BC16" i="1"/>
  <c r="BE16" i="1" s="1"/>
  <c r="AX16" i="1"/>
  <c r="BA16" i="1" s="1"/>
  <c r="AL16" i="1"/>
  <c r="AK16" i="1"/>
  <c r="AC16" i="1"/>
  <c r="Y16" i="1"/>
  <c r="AF16" i="1"/>
  <c r="AD20" i="1" l="1"/>
  <c r="BA18" i="1"/>
  <c r="AG16" i="1"/>
  <c r="AE18" i="1"/>
  <c r="AF25" i="1"/>
  <c r="AE27" i="1"/>
  <c r="AF20" i="1"/>
  <c r="Z18" i="1"/>
  <c r="AF26" i="1"/>
  <c r="AD16" i="1"/>
  <c r="Z20" i="1"/>
  <c r="AG18" i="1"/>
  <c r="Z33" i="1"/>
  <c r="AY20" i="1"/>
  <c r="AZ20" i="1" s="1"/>
  <c r="BE24" i="1"/>
  <c r="BE33" i="1"/>
  <c r="Z24" i="1"/>
  <c r="AY33" i="1"/>
  <c r="AZ33" i="1" s="1"/>
  <c r="BD16" i="1"/>
  <c r="BF16" i="1" s="1"/>
  <c r="AY16" i="1"/>
  <c r="AZ16" i="1" s="1"/>
  <c r="BD20" i="1"/>
  <c r="BF20" i="1" s="1"/>
  <c r="BE25" i="1"/>
  <c r="BE27" i="1"/>
  <c r="BE26" i="1"/>
  <c r="AD26" i="1"/>
  <c r="AE26" i="1"/>
  <c r="AG20" i="1"/>
  <c r="Y26" i="1"/>
  <c r="Z26" i="1" s="1"/>
  <c r="AE16" i="1"/>
  <c r="AD18" i="1"/>
  <c r="AY18" i="1"/>
  <c r="BD18" i="1"/>
  <c r="BF18" i="1" s="1"/>
  <c r="Z16" i="1"/>
  <c r="AE24" i="1"/>
  <c r="AG24" i="1"/>
  <c r="AF24" i="1"/>
  <c r="BA24" i="1"/>
  <c r="AY24" i="1"/>
  <c r="AE25" i="1"/>
  <c r="AD25" i="1"/>
  <c r="AC33" i="1"/>
  <c r="AG33" i="1" s="1"/>
  <c r="AF33" i="1"/>
  <c r="BA25" i="1"/>
  <c r="AY25" i="1"/>
  <c r="BA26" i="1"/>
  <c r="AY26" i="1"/>
  <c r="AY27" i="1"/>
  <c r="BA27" i="1"/>
  <c r="Z25" i="1"/>
  <c r="AG27" i="1"/>
  <c r="Z27" i="1"/>
  <c r="BF25" i="1" l="1"/>
  <c r="BF26" i="1"/>
  <c r="BF33" i="1"/>
  <c r="BF27" i="1"/>
  <c r="BF24" i="1"/>
  <c r="AZ18" i="1"/>
  <c r="AI27" i="1"/>
  <c r="AM27" i="1" s="1"/>
  <c r="AI16" i="1"/>
  <c r="AM16" i="1" s="1"/>
  <c r="AI26" i="1"/>
  <c r="AM26" i="1" s="1"/>
  <c r="AI18" i="1"/>
  <c r="AM18" i="1" s="1"/>
  <c r="AI20" i="1"/>
  <c r="AJ20" i="1" s="1"/>
  <c r="AI25" i="1"/>
  <c r="AM25" i="1" s="1"/>
  <c r="AD33" i="1"/>
  <c r="AZ27" i="1"/>
  <c r="AZ26" i="1"/>
  <c r="AI33" i="1"/>
  <c r="AM33" i="1" s="1"/>
  <c r="AZ25" i="1"/>
  <c r="AZ24" i="1"/>
  <c r="AI24" i="1"/>
  <c r="AM24" i="1" s="1"/>
  <c r="AJ24" i="1" l="1"/>
  <c r="AJ27" i="1"/>
  <c r="AJ33" i="1"/>
  <c r="AJ16" i="1"/>
  <c r="AJ18" i="1"/>
  <c r="AJ25" i="1"/>
  <c r="AJ26" i="1"/>
  <c r="AM20" i="1"/>
  <c r="BG16" i="1"/>
  <c r="BG24" i="1"/>
  <c r="BG20" i="1"/>
  <c r="BG33" i="1"/>
  <c r="BG25" i="1"/>
  <c r="BG18" i="1"/>
  <c r="BG27" i="1"/>
  <c r="BG26" i="1"/>
  <c r="AQ16" i="1"/>
  <c r="AQ27" i="1"/>
  <c r="AQ26" i="1"/>
  <c r="AQ24" i="1"/>
  <c r="AQ25" i="1"/>
  <c r="AQ33" i="1"/>
  <c r="AQ20" i="1" l="1"/>
  <c r="AQ18" i="1"/>
  <c r="X29" i="1"/>
  <c r="BC44" i="1" l="1"/>
  <c r="BE44" i="1" s="1"/>
  <c r="AX44" i="1"/>
  <c r="BA44" i="1" s="1"/>
  <c r="AL44" i="1"/>
  <c r="AK44" i="1"/>
  <c r="AC44" i="1"/>
  <c r="AD44" i="1" s="1"/>
  <c r="Y44" i="1"/>
  <c r="X44" i="1"/>
  <c r="AE44" i="1" s="1"/>
  <c r="BC42" i="1"/>
  <c r="BE42" i="1" s="1"/>
  <c r="AX42" i="1"/>
  <c r="BA42" i="1" s="1"/>
  <c r="AL42" i="1"/>
  <c r="AK42" i="1"/>
  <c r="AC42" i="1"/>
  <c r="AD42" i="1" s="1"/>
  <c r="Y42" i="1"/>
  <c r="X42" i="1"/>
  <c r="AE42" i="1" s="1"/>
  <c r="BC10" i="1"/>
  <c r="BE10" i="1" s="1"/>
  <c r="AX10" i="1"/>
  <c r="BA10" i="1" s="1"/>
  <c r="AL10" i="1"/>
  <c r="AK10" i="1"/>
  <c r="AC10" i="1"/>
  <c r="Y10" i="1"/>
  <c r="X10" i="1"/>
  <c r="AE10" i="1" s="1"/>
  <c r="AG10" i="1" l="1"/>
  <c r="AF44" i="1"/>
  <c r="BD10" i="1"/>
  <c r="BF10" i="1" s="1"/>
  <c r="Z44" i="1"/>
  <c r="AG44" i="1"/>
  <c r="AY42" i="1"/>
  <c r="AZ42" i="1" s="1"/>
  <c r="AY10" i="1"/>
  <c r="AZ10" i="1" s="1"/>
  <c r="AY44" i="1"/>
  <c r="AZ44" i="1" s="1"/>
  <c r="BD42" i="1"/>
  <c r="BF42" i="1" s="1"/>
  <c r="AD10" i="1"/>
  <c r="Z10" i="1"/>
  <c r="AF10" i="1"/>
  <c r="Z42" i="1"/>
  <c r="AF42" i="1"/>
  <c r="BD44" i="1"/>
  <c r="BF44" i="1" s="1"/>
  <c r="AG42" i="1"/>
  <c r="AI10" i="1" l="1"/>
  <c r="AM10" i="1" s="1"/>
  <c r="AI44" i="1"/>
  <c r="AM44" i="1" s="1"/>
  <c r="AI42" i="1"/>
  <c r="AM42" i="1" s="1"/>
  <c r="AJ42" i="1" l="1"/>
  <c r="AJ44" i="1"/>
  <c r="AJ10" i="1"/>
  <c r="BG10" i="1"/>
  <c r="AQ42" i="1"/>
  <c r="BG42" i="1"/>
  <c r="BG44" i="1"/>
  <c r="AQ10" i="1"/>
  <c r="AQ44" i="1"/>
  <c r="BK8" i="1" l="1"/>
  <c r="AA29" i="1" l="1"/>
  <c r="AA12" i="1"/>
  <c r="AC9" i="1"/>
  <c r="AC40" i="1"/>
  <c r="AD40" i="1" s="1"/>
  <c r="AC30" i="1"/>
  <c r="AD30" i="1" s="1"/>
  <c r="AC14" i="1"/>
  <c r="AD14" i="1" s="1"/>
  <c r="AB43" i="1"/>
  <c r="AC43" i="1" s="1"/>
  <c r="AD43" i="1" s="1"/>
  <c r="AD9" i="1" l="1"/>
  <c r="AC12" i="1"/>
  <c r="AC29" i="1"/>
  <c r="AD29" i="1" s="1"/>
  <c r="AD12" i="1" l="1"/>
  <c r="BC9" i="1"/>
  <c r="AX9" i="1"/>
  <c r="AL9" i="1"/>
  <c r="AK9" i="1"/>
  <c r="Y9" i="1"/>
  <c r="X9" i="1"/>
  <c r="BA9" i="1" l="1"/>
  <c r="BE9" i="1"/>
  <c r="Z9" i="1"/>
  <c r="AE9" i="1"/>
  <c r="AF9" i="1"/>
  <c r="AG9" i="1"/>
  <c r="AY9" i="1"/>
  <c r="BD9" i="1"/>
  <c r="BF9" i="1" l="1"/>
  <c r="AZ9" i="1"/>
  <c r="AI9" i="1"/>
  <c r="AM9" i="1" s="1"/>
  <c r="AJ9" i="1" l="1"/>
  <c r="BG9" i="1"/>
  <c r="AQ9" i="1"/>
  <c r="AX39" i="1" l="1"/>
  <c r="BA39" i="1" l="1"/>
  <c r="AY39" i="1"/>
  <c r="AZ39" i="1" l="1"/>
  <c r="BC39" i="1"/>
  <c r="BD39" i="1" l="1"/>
  <c r="BE39" i="1"/>
  <c r="BF39" i="1" l="1"/>
  <c r="X43" i="1" l="1"/>
  <c r="X30" i="1"/>
  <c r="BC14" i="1" l="1"/>
  <c r="BC13" i="1"/>
  <c r="BC8" i="1"/>
  <c r="BC38" i="1"/>
  <c r="AX14" i="1"/>
  <c r="AX38" i="1"/>
  <c r="AY38" i="1" s="1"/>
  <c r="AX2" i="1"/>
  <c r="BE8" i="1" l="1"/>
  <c r="BD8" i="1"/>
  <c r="BE38" i="1"/>
  <c r="BD38" i="1"/>
  <c r="BE13" i="1"/>
  <c r="BD13" i="1"/>
  <c r="BE14" i="1"/>
  <c r="BD14" i="1"/>
  <c r="BA38" i="1"/>
  <c r="AZ38" i="1" s="1"/>
  <c r="BA14" i="1"/>
  <c r="AY14" i="1"/>
  <c r="BF38" i="1" l="1"/>
  <c r="BF8" i="1"/>
  <c r="BF14" i="1"/>
  <c r="BF13" i="1"/>
  <c r="AZ14" i="1"/>
  <c r="AB13" i="1" l="1"/>
  <c r="AC13" i="1" l="1"/>
  <c r="AL14" i="1"/>
  <c r="AK14" i="1"/>
  <c r="Y14" i="1"/>
  <c r="X14" i="1"/>
  <c r="AG14" i="1" s="1"/>
  <c r="AL39" i="1"/>
  <c r="AK39" i="1"/>
  <c r="AA39" i="1"/>
  <c r="AD39" i="1" s="1"/>
  <c r="Y39" i="1"/>
  <c r="X39" i="1"/>
  <c r="AL38" i="1"/>
  <c r="AK38" i="1"/>
  <c r="AA38" i="1"/>
  <c r="Y38" i="1"/>
  <c r="X38" i="1"/>
  <c r="AF38" i="1" s="1"/>
  <c r="AL12" i="1"/>
  <c r="AK12" i="1"/>
  <c r="Y12" i="1"/>
  <c r="X12" i="1"/>
  <c r="AL29" i="1"/>
  <c r="AK29" i="1"/>
  <c r="Y29" i="1"/>
  <c r="AG29" i="1"/>
  <c r="AA66" i="1" l="1"/>
  <c r="AD38" i="1"/>
  <c r="Z38" i="1"/>
  <c r="AE14" i="1"/>
  <c r="AG38" i="1"/>
  <c r="AE29" i="1"/>
  <c r="AF29" i="1"/>
  <c r="AF14" i="1"/>
  <c r="Z29" i="1"/>
  <c r="Z14" i="1"/>
  <c r="AE12" i="1"/>
  <c r="AG39" i="1"/>
  <c r="AE39" i="1"/>
  <c r="Z39" i="1"/>
  <c r="AF39" i="1"/>
  <c r="AF12" i="1"/>
  <c r="Z12" i="1"/>
  <c r="AG12" i="1"/>
  <c r="AE38" i="1"/>
  <c r="AX12" i="1"/>
  <c r="AY12" i="1" l="1"/>
  <c r="BA12" i="1"/>
  <c r="AI14" i="1"/>
  <c r="AM14" i="1" s="1"/>
  <c r="AI38" i="1"/>
  <c r="AJ38" i="1" s="1"/>
  <c r="AI39" i="1"/>
  <c r="AM39" i="1" s="1"/>
  <c r="AI29" i="1"/>
  <c r="AM29" i="1" s="1"/>
  <c r="AI12" i="1"/>
  <c r="AM12" i="1" s="1"/>
  <c r="AJ12" i="1" l="1"/>
  <c r="AJ14" i="1"/>
  <c r="AJ39" i="1"/>
  <c r="AJ29" i="1"/>
  <c r="AM38" i="1"/>
  <c r="AQ38" i="1" s="1"/>
  <c r="BG38" i="1"/>
  <c r="AQ39" i="1"/>
  <c r="BG39" i="1"/>
  <c r="AQ14" i="1"/>
  <c r="BG14" i="1"/>
  <c r="AZ12" i="1"/>
  <c r="BC12" i="1"/>
  <c r="AQ29" i="1"/>
  <c r="BE12" i="1" l="1"/>
  <c r="BG12" i="1" s="1"/>
  <c r="BD12" i="1"/>
  <c r="AQ12" i="1"/>
  <c r="BF12" i="1" l="1"/>
  <c r="AL40" i="1" l="1"/>
  <c r="AK40" i="1"/>
  <c r="Y40" i="1"/>
  <c r="X40" i="1"/>
  <c r="AF40" i="1" l="1"/>
  <c r="AE40" i="1"/>
  <c r="AG40" i="1"/>
  <c r="Z40" i="1"/>
  <c r="AX29" i="1"/>
  <c r="AY29" i="1" l="1"/>
  <c r="BA29" i="1"/>
  <c r="AX40" i="1"/>
  <c r="AI40" i="1"/>
  <c r="AM40" i="1" s="1"/>
  <c r="AJ40" i="1" l="1"/>
  <c r="BC29" i="1"/>
  <c r="AZ29" i="1"/>
  <c r="AQ40" i="1"/>
  <c r="BC40" i="1"/>
  <c r="AY40" i="1"/>
  <c r="BA40" i="1"/>
  <c r="BD29" i="1" l="1"/>
  <c r="BE29" i="1"/>
  <c r="BG29" i="1" s="1"/>
  <c r="BE40" i="1"/>
  <c r="BG40" i="1" s="1"/>
  <c r="BD40" i="1"/>
  <c r="AZ40" i="1"/>
  <c r="BF29" i="1" l="1"/>
  <c r="BF40" i="1"/>
  <c r="X41" i="1" l="1"/>
  <c r="X13" i="1"/>
  <c r="AL43" i="1" l="1"/>
  <c r="Y43" i="1"/>
  <c r="AG43" i="1"/>
  <c r="AE43" i="1" l="1"/>
  <c r="AF43" i="1"/>
  <c r="Z43" i="1"/>
  <c r="AK43" i="1" l="1"/>
  <c r="AI43" i="1"/>
  <c r="AM43" i="1" s="1"/>
  <c r="AJ43" i="1" l="1"/>
  <c r="AQ43" i="1" l="1"/>
  <c r="AL13" i="1" l="1"/>
  <c r="AD13" i="1"/>
  <c r="Y13" i="1"/>
  <c r="AE13" i="1"/>
  <c r="AX13" i="1" l="1"/>
  <c r="BA13" i="1" s="1"/>
  <c r="AK13" i="1"/>
  <c r="AG13" i="1"/>
  <c r="Z13" i="1"/>
  <c r="AF13" i="1"/>
  <c r="AY13" i="1" l="1"/>
  <c r="AI13" i="1"/>
  <c r="AM13" i="1" s="1"/>
  <c r="AJ13" i="1" l="1"/>
  <c r="BG13" i="1"/>
  <c r="AQ13" i="1"/>
  <c r="AZ13" i="1"/>
  <c r="AD11" i="1" l="1"/>
  <c r="AB8" i="1"/>
  <c r="AB66" i="1" s="1"/>
  <c r="AC8" i="1" l="1"/>
  <c r="AC66" i="1" s="1"/>
  <c r="AL8" i="1" l="1"/>
  <c r="AD41" i="1"/>
  <c r="Y30" i="1"/>
  <c r="Y41" i="1"/>
  <c r="Y8" i="1"/>
  <c r="Y11" i="1"/>
  <c r="Z11" i="1" s="1"/>
  <c r="Y66" i="1" l="1"/>
  <c r="AE11" i="1"/>
  <c r="AG30" i="1"/>
  <c r="Z8" i="1"/>
  <c r="Z30" i="1"/>
  <c r="AF41" i="1"/>
  <c r="AE41" i="1"/>
  <c r="AG41" i="1"/>
  <c r="Z41" i="1"/>
  <c r="AE30" i="1"/>
  <c r="AG11" i="1"/>
  <c r="AF11" i="1"/>
  <c r="AE8" i="1"/>
  <c r="AF8" i="1"/>
  <c r="AF30" i="1"/>
  <c r="AF66" i="1" l="1"/>
  <c r="AE66" i="1"/>
  <c r="Z66" i="1"/>
  <c r="AX8" i="1"/>
  <c r="AX43" i="1"/>
  <c r="AX41" i="1"/>
  <c r="AY41" i="1" s="1"/>
  <c r="AK11" i="1"/>
  <c r="AX11" i="1"/>
  <c r="AK30" i="1"/>
  <c r="AX30" i="1"/>
  <c r="AI11" i="1"/>
  <c r="AJ11" i="1" s="1"/>
  <c r="AI30" i="1"/>
  <c r="AM30" i="1" s="1"/>
  <c r="AI41" i="1"/>
  <c r="AM41" i="1" s="1"/>
  <c r="AK41" i="1"/>
  <c r="AK8" i="1"/>
  <c r="AX66" i="1" l="1"/>
  <c r="AY72" i="1" s="1"/>
  <c r="AJ30" i="1"/>
  <c r="AJ41" i="1"/>
  <c r="AM11" i="1"/>
  <c r="AK66" i="1"/>
  <c r="AY8" i="1"/>
  <c r="BA8" i="1"/>
  <c r="BA41" i="1"/>
  <c r="AZ41" i="1" s="1"/>
  <c r="BC43" i="1"/>
  <c r="AY43" i="1"/>
  <c r="BA43" i="1"/>
  <c r="BC11" i="1"/>
  <c r="BC41" i="1"/>
  <c r="BD41" i="1" s="1"/>
  <c r="BA11" i="1"/>
  <c r="AY11" i="1"/>
  <c r="AD8" i="1"/>
  <c r="AD66" i="1" s="1"/>
  <c r="AG8" i="1"/>
  <c r="AG66" i="1" s="1"/>
  <c r="BC30" i="1"/>
  <c r="BE30" i="1" s="1"/>
  <c r="BA30" i="1"/>
  <c r="AY30" i="1"/>
  <c r="AL11" i="1"/>
  <c r="AL30" i="1"/>
  <c r="AL41" i="1"/>
  <c r="BC66" i="1" l="1"/>
  <c r="BA66" i="1"/>
  <c r="AY71" i="1" s="1"/>
  <c r="AY66" i="1"/>
  <c r="AL66" i="1"/>
  <c r="BG30" i="1"/>
  <c r="AZ8" i="1"/>
  <c r="BD11" i="1"/>
  <c r="AI8" i="1"/>
  <c r="AI66" i="1" s="1"/>
  <c r="BE11" i="1"/>
  <c r="AZ43" i="1"/>
  <c r="BD43" i="1"/>
  <c r="BE43" i="1"/>
  <c r="BG43" i="1" s="1"/>
  <c r="BE41" i="1"/>
  <c r="BG41" i="1" s="1"/>
  <c r="AZ11" i="1"/>
  <c r="BD30" i="1"/>
  <c r="BF30" i="1" s="1"/>
  <c r="AZ30" i="1"/>
  <c r="AQ30" i="1"/>
  <c r="AQ11" i="1"/>
  <c r="AQ41" i="1"/>
  <c r="BE66" i="1" l="1"/>
  <c r="BD66" i="1"/>
  <c r="AZ66" i="1"/>
  <c r="AY69" i="1" s="1"/>
  <c r="AY74" i="1" s="1"/>
  <c r="AM8" i="1"/>
  <c r="AM66" i="1" s="1"/>
  <c r="BG11" i="1"/>
  <c r="BG8" i="1"/>
  <c r="AJ8" i="1"/>
  <c r="AJ66" i="1" s="1"/>
  <c r="BF11" i="1"/>
  <c r="BF43" i="1"/>
  <c r="BF41" i="1"/>
  <c r="BF66" i="1" l="1"/>
  <c r="BG66" i="1"/>
  <c r="AQ8" i="1"/>
  <c r="AQ66" i="1" s="1"/>
</calcChain>
</file>

<file path=xl/sharedStrings.xml><?xml version="1.0" encoding="utf-8"?>
<sst xmlns="http://schemas.openxmlformats.org/spreadsheetml/2006/main" count="1392" uniqueCount="741">
  <si>
    <t>Employee Name</t>
  </si>
  <si>
    <t>Date of Joining</t>
  </si>
  <si>
    <t>Designation</t>
  </si>
  <si>
    <t>Department</t>
  </si>
  <si>
    <t>Team Name</t>
  </si>
  <si>
    <t>Branch Name</t>
  </si>
  <si>
    <t>Days Worked</t>
  </si>
  <si>
    <t>Leaves</t>
  </si>
  <si>
    <t>Payable Days</t>
  </si>
  <si>
    <t>PF Aplicable</t>
  </si>
  <si>
    <t>ESIC Aplicable</t>
  </si>
  <si>
    <t>One Day Salary</t>
  </si>
  <si>
    <t>Salary for the Month</t>
  </si>
  <si>
    <t>Basic &amp; DA</t>
  </si>
  <si>
    <t>HRA</t>
  </si>
  <si>
    <t>Other Allowance</t>
  </si>
  <si>
    <t>Gross Rate</t>
  </si>
  <si>
    <t>Basic</t>
  </si>
  <si>
    <t>Other Allowance / Incentives</t>
  </si>
  <si>
    <t>Overtime</t>
  </si>
  <si>
    <t>Earnings</t>
  </si>
  <si>
    <t>Diff</t>
  </si>
  <si>
    <t>Deductions</t>
  </si>
  <si>
    <t>ESIC</t>
  </si>
  <si>
    <t>P.TAX</t>
  </si>
  <si>
    <t>MLWF</t>
  </si>
  <si>
    <t>PF</t>
  </si>
  <si>
    <t>Salary Paid Status</t>
  </si>
  <si>
    <t>Bank Account Number</t>
  </si>
  <si>
    <t>Bank IFSC</t>
  </si>
  <si>
    <t>No</t>
  </si>
  <si>
    <t>Yes</t>
  </si>
  <si>
    <t>Gender</t>
  </si>
  <si>
    <t>PAN</t>
  </si>
  <si>
    <t>Aadhar Number</t>
  </si>
  <si>
    <t>Address</t>
  </si>
  <si>
    <t xml:space="preserve">PF CHALLAN WORKING  </t>
  </si>
  <si>
    <t xml:space="preserve">ESIC  CHALLAN WORKING  </t>
  </si>
  <si>
    <t>Back Office</t>
  </si>
  <si>
    <t>Accounts &amp; Admin</t>
  </si>
  <si>
    <t>Secured Back Office</t>
  </si>
  <si>
    <t>Unsecured Back Office</t>
  </si>
  <si>
    <t>Borivali</t>
  </si>
  <si>
    <t>Thane</t>
  </si>
  <si>
    <t>Back Office Executive</t>
  </si>
  <si>
    <t>Branch Operations Executive</t>
  </si>
  <si>
    <t>Admin Officer</t>
  </si>
  <si>
    <t>Gross Salary</t>
  </si>
  <si>
    <t>TDS</t>
  </si>
  <si>
    <t>Advance Salary</t>
  </si>
  <si>
    <t>Net Payable</t>
  </si>
  <si>
    <t>PF Wages</t>
  </si>
  <si>
    <t>EE share</t>
  </si>
  <si>
    <t>ER Share</t>
  </si>
  <si>
    <t>Pension</t>
  </si>
  <si>
    <t>ESIC Wages</t>
  </si>
  <si>
    <t>EE Share</t>
  </si>
  <si>
    <t>Remark</t>
  </si>
  <si>
    <t>TOTAL</t>
  </si>
  <si>
    <t>Male</t>
  </si>
  <si>
    <t>Female</t>
  </si>
  <si>
    <t>CTC</t>
  </si>
  <si>
    <t>A/c No.X</t>
  </si>
  <si>
    <t>A/c No.XXI</t>
  </si>
  <si>
    <t>A/c No.XXII</t>
  </si>
  <si>
    <t>Email ID</t>
  </si>
  <si>
    <t>Mobile No.</t>
  </si>
  <si>
    <t>Bank Name</t>
  </si>
  <si>
    <t>A/c No.I</t>
  </si>
  <si>
    <t>A/c Mo.II</t>
  </si>
  <si>
    <t>AXIPM6485G</t>
  </si>
  <si>
    <t>635270005794</t>
  </si>
  <si>
    <t>JAY GANESH RAHIVASHI SEVA SANGH ROOM NO. 18 S N DUBE ROAD, KOKANI PADA, DAHISAR EAST MUMBAI 400068</t>
  </si>
  <si>
    <t>AINPC1301M</t>
  </si>
  <si>
    <t>nina.c@fineoteric.com</t>
  </si>
  <si>
    <t>912931986707</t>
  </si>
  <si>
    <t>303 SHREE LAXMI VILAS CHS OPP HEENADAULAT NAGAR ROAD NO 1 BORIVALI EAST MUMBAI 400066</t>
  </si>
  <si>
    <t>AUCPK6947N</t>
  </si>
  <si>
    <t>1975kadamsudhir@gmail.com</t>
  </si>
  <si>
    <t>842363127744</t>
  </si>
  <si>
    <t>HOUSE NO 728  ROOM NO G-7 AATMARAM NAGER  NEVALI  NAKA  SHREE MANGAL  ROAD NEAR IDEAL COLLAGE AMBERNATH NEVALI</t>
  </si>
  <si>
    <t>AOIPD1083N</t>
  </si>
  <si>
    <t>B/2 SHIV TAPASYA CO OP HOS SOC EKASR ROAD NEAR ICICI BANK BORIVALI WEST MUMBAI 400092</t>
  </si>
  <si>
    <t>737754869417</t>
  </si>
  <si>
    <t>BANK OF BARODA</t>
  </si>
  <si>
    <t>ID</t>
  </si>
  <si>
    <t>Sr. No</t>
  </si>
  <si>
    <t>BYOPD5329L</t>
  </si>
  <si>
    <t>897562338207</t>
  </si>
  <si>
    <t xml:space="preserve"> DURGA DHAM RAHIWASHI MANDAL CHAWL  SHIMPOLI  ROAD NEAR TELEPHONE  EXCHANGE SHIVAJI NAGER  BORIVALI WEST -400092</t>
  </si>
  <si>
    <t>Total Leaves Gross Earning</t>
  </si>
  <si>
    <t>Total Leaves</t>
  </si>
  <si>
    <t>Total Leaves PF Payable</t>
  </si>
  <si>
    <t xml:space="preserve">Operation Manager </t>
  </si>
  <si>
    <t>Accounts Manager</t>
  </si>
  <si>
    <t>Accounts &amp; Operation Team</t>
  </si>
  <si>
    <t>DOB</t>
  </si>
  <si>
    <t>Father Name</t>
  </si>
  <si>
    <t>Marrital status</t>
  </si>
  <si>
    <t>Amrutlal Dayalbhal Chapatwala</t>
  </si>
  <si>
    <t>Unmarried</t>
  </si>
  <si>
    <t>Married</t>
  </si>
  <si>
    <t>Baji Govind Kadam</t>
  </si>
  <si>
    <t>Chandrakant Vithal Jadhav</t>
  </si>
  <si>
    <t>Balu Zilu Manve</t>
  </si>
  <si>
    <t>Santosh Ramchandra Dalvi</t>
  </si>
  <si>
    <t>UNION BANK</t>
  </si>
  <si>
    <t>SHANTARAM GOVIND RALE</t>
  </si>
  <si>
    <t>AJNPR6060M</t>
  </si>
  <si>
    <t>628312093254</t>
  </si>
  <si>
    <t>YASHWANT SHALI CO OP HOS PLOT NO 191 ROOM NO 13 SECTOR NO 1 CHARKOP KANDVALI ( W) MUMBAI 400067</t>
  </si>
  <si>
    <t>Branch Operations Mgr</t>
  </si>
  <si>
    <t>NA</t>
  </si>
  <si>
    <t>IDBI BANK</t>
  </si>
  <si>
    <t>KARTIK KADAM</t>
  </si>
  <si>
    <t>Vijay Rambhau Kadam</t>
  </si>
  <si>
    <t>INJPK2728D</t>
  </si>
  <si>
    <t>Kartik143kadam@gmail.com</t>
  </si>
  <si>
    <t>S/O: Vijay kadam ,B/406, parvati soniya shingda niwas,achole road near saraswati school babulpada vasai thane 401209</t>
  </si>
  <si>
    <t>mahesh.manve15@gmail.com</t>
  </si>
  <si>
    <t>vinayadalvi1511@gmail.com</t>
  </si>
  <si>
    <t>dalvi.supriya22@gmail.com</t>
  </si>
  <si>
    <t>Firm</t>
  </si>
  <si>
    <t>Operations</t>
  </si>
  <si>
    <t>HITESH MAKWANA</t>
  </si>
  <si>
    <t>NANJIBHAI MAKWANA</t>
  </si>
  <si>
    <t>CXYPM7136G</t>
  </si>
  <si>
    <t>POONAM SAGAR COMPLEX C/53  SHANTI NAGER SECTOR -9 MIRA BHAYANDER  THANE -401107</t>
  </si>
  <si>
    <t>SUPPORT EXECUTIVE</t>
  </si>
  <si>
    <t>50110747320</t>
  </si>
  <si>
    <t>IDIB000M706</t>
  </si>
  <si>
    <t>Mis Executive</t>
  </si>
  <si>
    <t>NANDALAL PARMAR</t>
  </si>
  <si>
    <t>AQQPP5013Q</t>
  </si>
  <si>
    <t>parmarb388@gmail.com</t>
  </si>
  <si>
    <t>E-101, SHREE RAM APARTMENT, SV ROAD, NEAR MILAP TALKIES GORAS WADI, KANDIVALI WEST MUMBAI MAHARASHTRA -400067</t>
  </si>
  <si>
    <t>DHARA MAHESH MISTRY</t>
  </si>
  <si>
    <t>MAHESH MISTRY</t>
  </si>
  <si>
    <t>DIQPM6994A</t>
  </si>
  <si>
    <t>dharamistry143@gmail.com</t>
  </si>
  <si>
    <t>9833730708/ 8369745221</t>
  </si>
  <si>
    <t>4962 7707 9108</t>
  </si>
  <si>
    <t>ROOM NO.4, B.S.DUBEY CHAWL, SANT MIRABAI ROAD, NEAR BHARAT DAIRY, GHARTANPADA-2, DAHISAR EAST, MUMBAI, MAHARASHTRA- 400068</t>
  </si>
  <si>
    <t xml:space="preserve">DNYANESHWARI ASHOK KEREKAR </t>
  </si>
  <si>
    <t>ASHOK KEREKAR</t>
  </si>
  <si>
    <t>KNQPK6694R</t>
  </si>
  <si>
    <t>dnyaneshwarikerekar@gmail.com</t>
  </si>
  <si>
    <t>7018-2786-5884</t>
  </si>
  <si>
    <t xml:space="preserve"> LAXMI NIWAS,TRIMURTI,DEVIPADA,TATA POWER HOUSE,NEAR MAGATHANE DEPOT,BORIVALI EAST</t>
  </si>
  <si>
    <t>GITESH DAKSHINI</t>
  </si>
  <si>
    <t>Maganlal Lalji Dakshini</t>
  </si>
  <si>
    <t>AVUPD3017F</t>
  </si>
  <si>
    <t>giteshdakshini11@gmail.com</t>
  </si>
  <si>
    <t>ROOM NO 28 THAKUR  CHAWL  WAMAN BHOIR   MARG   NEAR  SHELAR  CHAWL KANDARPADA  DAHISAR  WEST  MUMBAI -400068</t>
  </si>
  <si>
    <t>NIDHI RAJENDRA SHAH</t>
  </si>
  <si>
    <t>Rajendra Kumar Babulal Shah</t>
  </si>
  <si>
    <t>ECRPS4449N</t>
  </si>
  <si>
    <t>shahnidhi676@gmail.com</t>
  </si>
  <si>
    <t>Mulji Apt. above bank of baroda, S.V Road daulat nagar borivali (E)</t>
  </si>
  <si>
    <t>Salary Increase</t>
  </si>
  <si>
    <t>Already PF &amp; ESIC Deducted</t>
  </si>
  <si>
    <t>Having PF Number Sales Team</t>
  </si>
  <si>
    <t>UAN NUMBER</t>
  </si>
  <si>
    <t>PF Back office &amp; A/c Team</t>
  </si>
  <si>
    <t>100365924000</t>
  </si>
  <si>
    <t>Completed months</t>
  </si>
  <si>
    <t>MAHESH BALU MANVE</t>
  </si>
  <si>
    <t>NINA AMRUTLAL CHAPATWALA</t>
  </si>
  <si>
    <t>PANKAJ S RALE</t>
  </si>
  <si>
    <t>VRINDA KAMLESH DALVI</t>
  </si>
  <si>
    <t>PARUL BHARATKUMAR SHAH</t>
  </si>
  <si>
    <t>BHARATKUMAR SHAH</t>
  </si>
  <si>
    <t>CPTPS1237R</t>
  </si>
  <si>
    <t>Parul4024@gmail.com</t>
  </si>
  <si>
    <t>6180 0232 3063</t>
  </si>
  <si>
    <t>C/204 DEVI ROYAL COMPLEX, BLDG NO.1, V.S.MARG, OPP. MAKWANA COMPLEX, VIRAR EAST, PALGHAR, MAHARASHTAR- 401305</t>
  </si>
  <si>
    <t>Account Executive</t>
  </si>
  <si>
    <t>pankajrale19@gmail.com</t>
  </si>
  <si>
    <t>FEDERAL BANK</t>
  </si>
  <si>
    <t>Admin</t>
  </si>
  <si>
    <t>Black1</t>
  </si>
  <si>
    <t>99980125424866</t>
  </si>
  <si>
    <t>FDRL0001622</t>
  </si>
  <si>
    <t>99980125424940</t>
  </si>
  <si>
    <t>99980125421797</t>
  </si>
  <si>
    <t>99980125426259</t>
  </si>
  <si>
    <t>99980125425160</t>
  </si>
  <si>
    <t>99980125424825</t>
  </si>
  <si>
    <t>99980125424833</t>
  </si>
  <si>
    <t>99980126335293</t>
  </si>
  <si>
    <t>99980126335434</t>
  </si>
  <si>
    <t>YES BANK</t>
  </si>
  <si>
    <t>PRIYA JAGDISH JOSHI</t>
  </si>
  <si>
    <t>Jagdish Ichhashankar Joshi</t>
  </si>
  <si>
    <t>AVJPJ5742N</t>
  </si>
  <si>
    <t>04priyajoshi@gmail.com</t>
  </si>
  <si>
    <t>419/19,Shiv Shambhu Society ,Sector-4,Lokmanya Tilak Marg. Near Municipal School, Charkop Kandivali West, Maharashtra 400067.</t>
  </si>
  <si>
    <t>Salary -FCPL</t>
  </si>
  <si>
    <t>99980125421813</t>
  </si>
  <si>
    <t>SANJAY ANANT BHOSALE</t>
  </si>
  <si>
    <t>ANANT SADASHIV BHOSALE</t>
  </si>
  <si>
    <t>AMLPB0972B</t>
  </si>
  <si>
    <t>sanjaybhosale9819@gmail.com</t>
  </si>
  <si>
    <t>665045274639</t>
  </si>
  <si>
    <t>4/2 MOHIDDIN CHAWL SUBHASH NAGAR JOGHESHWARI EAST MUMBAI 400060</t>
  </si>
  <si>
    <t>99980125424858</t>
  </si>
  <si>
    <t>SUCHITA CHINTAMANI PANDEY</t>
  </si>
  <si>
    <t>Chintamani Brhamdev Pandey</t>
  </si>
  <si>
    <t>ARHPP1380N</t>
  </si>
  <si>
    <t>suchitafineoteric@gmail.com</t>
  </si>
  <si>
    <t>886481427711</t>
  </si>
  <si>
    <t>A-304, GOKUL HERITAGE AGRWAL GARDEN BOLIN J GOKUL TOWNSHIP VIRAR-(W)</t>
  </si>
  <si>
    <t>99980125424841</t>
  </si>
  <si>
    <t>99980126328959</t>
  </si>
  <si>
    <t>Sales</t>
  </si>
  <si>
    <t>Telecaller</t>
  </si>
  <si>
    <t>HDFC BANK</t>
  </si>
  <si>
    <t>ISHPREET CHATWAL KAUR</t>
  </si>
  <si>
    <t>Amarjeet Kaur</t>
  </si>
  <si>
    <t>kauramarjeet2017@gmail.com</t>
  </si>
  <si>
    <t>Sales Executive</t>
  </si>
  <si>
    <t>99980125289525</t>
  </si>
  <si>
    <t>NO</t>
  </si>
  <si>
    <t>Anita Thakkar</t>
  </si>
  <si>
    <t xml:space="preserve">Tele Sales Executive </t>
  </si>
  <si>
    <t>VISHAL VILAS SABLE</t>
  </si>
  <si>
    <t>Vilas Vitthal Sable</t>
  </si>
  <si>
    <t>GSZPS0468F</t>
  </si>
  <si>
    <t>sablevishal10@gmail.com</t>
  </si>
  <si>
    <t>2906 4086 7887</t>
  </si>
  <si>
    <t>TAI NIWAS  A WING  ROOM NO 15  NANDIVALI  GAON  MOHACHI WADI  AT NANDIVALI  PANCHANAND  DOMBIVALI EAST- 421204</t>
  </si>
  <si>
    <t>101291427258</t>
  </si>
  <si>
    <t>Unit Manager</t>
  </si>
  <si>
    <t>Tele Caller</t>
  </si>
  <si>
    <t>Dhawal Upadhyay</t>
  </si>
  <si>
    <t>JAYSHREE RAMESH PAJAWE</t>
  </si>
  <si>
    <t>Ramesh Daji Pajawe</t>
  </si>
  <si>
    <t>DOJPP4887J</t>
  </si>
  <si>
    <t>Jayshreepajawe1996@gmail.com</t>
  </si>
  <si>
    <t>615995249844</t>
  </si>
  <si>
    <t>PLOT NO-199, C-17 , GORAI(2), BORIVALI (W)</t>
  </si>
  <si>
    <t>99980126335046</t>
  </si>
  <si>
    <t>SBI BANK</t>
  </si>
  <si>
    <t>Sales Manager</t>
  </si>
  <si>
    <t>PARIN RAJARAM PARIKH</t>
  </si>
  <si>
    <t>Rajanbhai Parikh</t>
  </si>
  <si>
    <t>ALKPP2383E</t>
  </si>
  <si>
    <t>parin.p@fineoteric.com</t>
  </si>
  <si>
    <t>207226315078</t>
  </si>
  <si>
    <t xml:space="preserve"> rajanbhai parikh a/ 301  blue  tulip blue  empire complex mahavir nager ekta nager kandivali  west mumbai - 400067</t>
  </si>
  <si>
    <t>Parin Parikh</t>
  </si>
  <si>
    <t>02991000027319</t>
  </si>
  <si>
    <t>HDFC0000299</t>
  </si>
  <si>
    <t>ARYAN BELOSE</t>
  </si>
  <si>
    <t>CHINTAMANI BELOSE</t>
  </si>
  <si>
    <t>GTLPB0602M</t>
  </si>
  <si>
    <t>4179 0172 8394</t>
  </si>
  <si>
    <t>Rahul Bhavsar</t>
  </si>
  <si>
    <t>41528419563</t>
  </si>
  <si>
    <t>SBIN0020865</t>
  </si>
  <si>
    <t>OMKAR VISHNU KAMATHE</t>
  </si>
  <si>
    <t>VISHANU KAMATHE</t>
  </si>
  <si>
    <t>KHPPK8768B</t>
  </si>
  <si>
    <t>omkarkamthe453@gmail.com</t>
  </si>
  <si>
    <t>8994 5886 2221</t>
  </si>
  <si>
    <t>645, GANESH CHAWL NO.1, RAMNAGAR, SIDDHIVINAYAK MITRA MANDAL, DIGHA, THANE, MAHARASHTRA- 400708</t>
  </si>
  <si>
    <t>KRIPASHANKAR PANDEY</t>
  </si>
  <si>
    <t>BQMPP8239H</t>
  </si>
  <si>
    <t>priti.pandey@gmail.com</t>
  </si>
  <si>
    <t>664516085290</t>
  </si>
  <si>
    <t>ROOM NO 3 NR VISHVKARMA CHAWL GANDHI NAGER  CUTTING NO 10 , KURAR VILLAGE MALAD EAST MUMBAI- 400097</t>
  </si>
  <si>
    <t>Sharad Ranjane</t>
  </si>
  <si>
    <t>KARISHMA SHARAD RANJANE</t>
  </si>
  <si>
    <t>Hasmukh Jaishanker Upadhyay</t>
  </si>
  <si>
    <t>AVKPC3199F</t>
  </si>
  <si>
    <t>sharadkari@gmail.com</t>
  </si>
  <si>
    <t>6801 5036 2480</t>
  </si>
  <si>
    <t>003 NISARG CHS TAJ MAHARASHTRA  NAGAR TATA POWER  BORIVALI (EAST) MUMBAI -66</t>
  </si>
  <si>
    <t>need to be check</t>
  </si>
  <si>
    <t>FCPL DOJ</t>
  </si>
  <si>
    <t>PF Remark</t>
  </si>
  <si>
    <t>99980125289202</t>
  </si>
  <si>
    <t>99980125289210</t>
  </si>
  <si>
    <t>99980126335541</t>
  </si>
  <si>
    <t>SUDHIR BAJI KADAM</t>
  </si>
  <si>
    <t>BRIJESH NANDALAL PARMAR</t>
  </si>
  <si>
    <t>PRITI KRIPASHANKAR PANDEY</t>
  </si>
  <si>
    <t>99980126332712</t>
  </si>
  <si>
    <t>99980125289475</t>
  </si>
  <si>
    <t>99980125289467</t>
  </si>
  <si>
    <t>PF And ESIC applicable</t>
  </si>
  <si>
    <t>PF Applicable Only</t>
  </si>
  <si>
    <t>Pf Declaration required, ESIC Aplicable</t>
  </si>
  <si>
    <t>Below 14k</t>
  </si>
  <si>
    <t>Already PF Deducted</t>
  </si>
  <si>
    <t>Only Pf Declaration required</t>
  </si>
  <si>
    <t>100973778542</t>
  </si>
  <si>
    <t>101138672562</t>
  </si>
  <si>
    <t>FCLLP</t>
  </si>
  <si>
    <t>021691800011401</t>
  </si>
  <si>
    <t>YESB0000216</t>
  </si>
  <si>
    <t>Saraswat Bank</t>
  </si>
  <si>
    <t>SUKHJIT SINGH CHATWAL</t>
  </si>
  <si>
    <t>DENPC8360D</t>
  </si>
  <si>
    <t>9201 8770 1976</t>
  </si>
  <si>
    <t>Citilight CHS, RH-4, PLOT NO. 25, SECTOR -1, NAVI MUMBAI, THANE 400709.</t>
  </si>
  <si>
    <t>96191 06051 / 9324380086</t>
  </si>
  <si>
    <t>Exp</t>
  </si>
  <si>
    <t>100434680512</t>
  </si>
  <si>
    <t>101507143887</t>
  </si>
  <si>
    <t>101507143943</t>
  </si>
  <si>
    <t>Commission</t>
  </si>
  <si>
    <t>Mahendra Maske</t>
  </si>
  <si>
    <t>Manager</t>
  </si>
  <si>
    <t>mahendra.m@fineoteric.com</t>
  </si>
  <si>
    <t>KEDAR KAMALKANT SHEMBEKAR</t>
  </si>
  <si>
    <t>Kamalkant Ramkrishna Shembekar</t>
  </si>
  <si>
    <t>BCAPS7483N</t>
  </si>
  <si>
    <t>shembekarkedar@gmail.com</t>
  </si>
  <si>
    <t>683758942342</t>
  </si>
  <si>
    <t>C 6 MEGH MALHAR NAU PADA THANE (W ) 400602</t>
  </si>
  <si>
    <t>99980125425350</t>
  </si>
  <si>
    <t>101139338260</t>
  </si>
  <si>
    <t>VAIBHAV VIJAY NEMANE</t>
  </si>
  <si>
    <t>Vijay Ramji Nemane</t>
  </si>
  <si>
    <t>AEEPN0667G</t>
  </si>
  <si>
    <t>nemane.vaibhav73@gmail.com</t>
  </si>
  <si>
    <t>271060406977</t>
  </si>
  <si>
    <t>R No. 2, 58-D, Nemane Chawl, Mehal Singh Compund, Dr. Ambedkar Road, Khar west, Mumbai- 400052</t>
  </si>
  <si>
    <t>99980125424957</t>
  </si>
  <si>
    <t>101492121378</t>
  </si>
  <si>
    <t>KOTAK BANK</t>
  </si>
  <si>
    <t>MANSI VIPUL GOHIL</t>
  </si>
  <si>
    <t>VIPUL GOHIL</t>
  </si>
  <si>
    <t>DOQPG4446M</t>
  </si>
  <si>
    <t>mansigohil2002@gmail.com</t>
  </si>
  <si>
    <t>7200 4160 6956</t>
  </si>
  <si>
    <t>A-404, Gandhar Bldg., Viva Swarganga Complex, Bolinj, Virar West, Palghar 401303</t>
  </si>
  <si>
    <t>99980126335061</t>
  </si>
  <si>
    <t>ANITA THAKKAR</t>
  </si>
  <si>
    <t>VASANT B PATIL</t>
  </si>
  <si>
    <t>AQJPP8108P</t>
  </si>
  <si>
    <t>anitaa.thakkar@gmail.com</t>
  </si>
  <si>
    <t>'230031473663</t>
  </si>
  <si>
    <t>1508/7 HIGHLAND PARK KOLSHT ROAD NEAR D MART DHOKALI  THANE WEST  SANDOZBAUGH THANE-400607</t>
  </si>
  <si>
    <t>SOWMYA JANAK GORADIA</t>
  </si>
  <si>
    <t>Janak Kumudchandra Goradia</t>
  </si>
  <si>
    <t>CMKPG8926M</t>
  </si>
  <si>
    <t>sowmyagoradia@gmail.com</t>
  </si>
  <si>
    <t>7178 9915 2231</t>
  </si>
  <si>
    <t>J/001 GEETA PALACE MIRA BHAYANDER ROAD NEAR SONALI HOTEL MIRA ROAD  THANE-401107</t>
  </si>
  <si>
    <t>99980126334940</t>
  </si>
  <si>
    <t>101708746818</t>
  </si>
  <si>
    <t>rahul.b@fineoteric.com</t>
  </si>
  <si>
    <t>RAHUL BHAVSAR</t>
  </si>
  <si>
    <t>Vaman Sukhdeo Bhavsar</t>
  </si>
  <si>
    <t>APGPB9171C</t>
  </si>
  <si>
    <t>715889063078</t>
  </si>
  <si>
    <t>PANCHAYAT HALL SECTION 2, MATA JAGAN MA MARG, ULLASNAGAR 4 ,THANE  - MAHARASHTRA - 421004</t>
  </si>
  <si>
    <t>8211703161</t>
  </si>
  <si>
    <t>KKBK0000651</t>
  </si>
  <si>
    <t>100941865956</t>
  </si>
  <si>
    <t>Ashok Gohil</t>
  </si>
  <si>
    <t>MITESH ASHOK GOHIL</t>
  </si>
  <si>
    <t>CRAPG3167R</t>
  </si>
  <si>
    <t>gohilmitesh1998@gmail.com</t>
  </si>
  <si>
    <t>481180982470</t>
  </si>
  <si>
    <t>A- 305 NARMADA  DEEP  CABIN ROAD  RAWAL  NAGER  BHAYANDER (EAST)  - 401105</t>
  </si>
  <si>
    <t>99980125424999</t>
  </si>
  <si>
    <t>101507143915</t>
  </si>
  <si>
    <t>DHARMISHTHA SHANTILAL PARMAR</t>
  </si>
  <si>
    <t>Shantilal Bhanjibhai Parmar</t>
  </si>
  <si>
    <t>CSWPP4339R</t>
  </si>
  <si>
    <t>dharmi.p@finkartfinance.com</t>
  </si>
  <si>
    <t>8097738456/9224371658</t>
  </si>
  <si>
    <t>249534480116</t>
  </si>
  <si>
    <t>RN.NO 5, lad chawl,khanderao dongni, dattapada road borivali (e) mumbai-400096</t>
  </si>
  <si>
    <t>99980126335038</t>
  </si>
  <si>
    <t>101507143860</t>
  </si>
  <si>
    <t>MONIKA GIRDHARBHAI MUNJANI</t>
  </si>
  <si>
    <t>Girdharbhai Ratilal Munjani</t>
  </si>
  <si>
    <t>BZRPM9573M</t>
  </si>
  <si>
    <t>monika.m@finkartfinance.com</t>
  </si>
  <si>
    <t>7738856178/9930572449</t>
  </si>
  <si>
    <t>663838767945</t>
  </si>
  <si>
    <t>203, new pakiza chs ltd, s.v road kandivali (w) m-67</t>
  </si>
  <si>
    <t>99980125289418</t>
  </si>
  <si>
    <t>101507143927</t>
  </si>
  <si>
    <t>SONAL VIPUL MEHTA</t>
  </si>
  <si>
    <t>Pravinbhai Devshibhai Parekh</t>
  </si>
  <si>
    <t>BANPM1172R</t>
  </si>
  <si>
    <t>sonal.m@finkartfinance .com</t>
  </si>
  <si>
    <t>9987376658 /8450900227</t>
  </si>
  <si>
    <t>471717466623</t>
  </si>
  <si>
    <t>Room no.10, saiyya niwas,jainuddin compound, carter road -3 borivali (E)</t>
  </si>
  <si>
    <t>99980126335012</t>
  </si>
  <si>
    <t>101507144002</t>
  </si>
  <si>
    <t>SUREKHA MANGESH PARAB</t>
  </si>
  <si>
    <t xml:space="preserve">Mangesh Waman Parab </t>
  </si>
  <si>
    <t xml:space="preserve">Single </t>
  </si>
  <si>
    <t>DJYPP7935R</t>
  </si>
  <si>
    <t>surekhaparab87@gmail.com</t>
  </si>
  <si>
    <t>6949 6889 3412</t>
  </si>
  <si>
    <t>B/304 GAURAV  GARDEN CHS LAXMIBEN CHEDA MARG NALASOPARA WEST-401203</t>
  </si>
  <si>
    <t>ICICI Bank</t>
  </si>
  <si>
    <t>000401779209</t>
  </si>
  <si>
    <t>ICIC0000004</t>
  </si>
  <si>
    <t>101242524486</t>
  </si>
  <si>
    <t>MAHESH PRAKASH SAPKAL</t>
  </si>
  <si>
    <t>Prakash Tukaram Sapkal</t>
  </si>
  <si>
    <t>DXUPS6526R</t>
  </si>
  <si>
    <t>maheshsapkal1432@gmail.com</t>
  </si>
  <si>
    <t>99980114025666</t>
  </si>
  <si>
    <t>FDRL0001176</t>
  </si>
  <si>
    <t>100440980491</t>
  </si>
  <si>
    <t>MEGHA BHEEM REDDY TIRLAPUR</t>
  </si>
  <si>
    <t>BHEEM HEMA REDDY TIRLAPUR</t>
  </si>
  <si>
    <t>CDOPR3058N</t>
  </si>
  <si>
    <t>meghareddy270@gmail.com</t>
  </si>
  <si>
    <t>7070-4424-4626</t>
  </si>
  <si>
    <t>A/202, Queens Castle,Queens Park,Mira Bhayander Road East, Thane, 401107</t>
  </si>
  <si>
    <t>Back Office Coordinator</t>
  </si>
  <si>
    <t>99980126335327</t>
  </si>
  <si>
    <t>101387776011</t>
  </si>
  <si>
    <t>DATTARAM SHANKAR PANCHAL</t>
  </si>
  <si>
    <t>AYMPP8983B</t>
  </si>
  <si>
    <t>S/O Dattaram panchal 4/B 305 SAHAYOG CO. op housing society T.J Road ram tekdi path sewi mumbai 400015</t>
  </si>
  <si>
    <t>99980126335426</t>
  </si>
  <si>
    <t>101507143894</t>
  </si>
  <si>
    <t>ROSHAN DEVISHARAN SINGH</t>
  </si>
  <si>
    <t>DEVISHARAN RAJDEV SINGH</t>
  </si>
  <si>
    <t>GVNPS5123L</t>
  </si>
  <si>
    <t>singhroshan3924@gmail.com</t>
  </si>
  <si>
    <t>4640 2906 4251</t>
  </si>
  <si>
    <t>ROOM NO-1 SHIV SHAKTI CHAWL WAGHRAL PADA NEAR SONU  DEVI  MANDIR RAJAWALI VASAI EAST PALGHAR MAHARASHTRA-401208</t>
  </si>
  <si>
    <t>76578100004864</t>
  </si>
  <si>
    <t>BARB0VJGOKH</t>
  </si>
  <si>
    <t>VAIBHAV UHDDAV SHETYE</t>
  </si>
  <si>
    <t>JQPPS9027F</t>
  </si>
  <si>
    <t>alishashetye36@gmail.com</t>
  </si>
  <si>
    <t>2242 4483 3377</t>
  </si>
  <si>
    <t>OMKAR  SOCIETY  ROOM  NO 306 3 RD FLOOR  B WING  NEAR  JASMINE  APT  AZADE GAON   DOMBIVALI  EAST -421201</t>
  </si>
  <si>
    <t>DBS BANK</t>
  </si>
  <si>
    <t>DBSS0IN0853</t>
  </si>
  <si>
    <t>8853010000009386</t>
  </si>
  <si>
    <t>ALISHA VAIBHAV SHETYE</t>
  </si>
  <si>
    <t>MANGESH DATTARAM PANCHAL</t>
  </si>
  <si>
    <t>Senior Accountant</t>
  </si>
  <si>
    <t>married</t>
  </si>
  <si>
    <t>378209100000597</t>
  </si>
  <si>
    <t>SRCB0000378</t>
  </si>
  <si>
    <t>JAVED KASIM SHAIKH</t>
  </si>
  <si>
    <t>50100620283261</t>
  </si>
  <si>
    <t>HDFC0000411</t>
  </si>
  <si>
    <t>KASIM CHAND SHAIKH</t>
  </si>
  <si>
    <t>ORZPS2036E</t>
  </si>
  <si>
    <t>6366 5122 5184</t>
  </si>
  <si>
    <t>RX  84 2/2 GANESH  NAGER WELFARE SOCIETY LINK ROAD NEAR ROYAL CLASSAS GANESH NAGER CHARKOP KANDIVALI  WEST MUMBAI -400067</t>
  </si>
  <si>
    <t>Priyanka Bhavsar -50,000</t>
  </si>
  <si>
    <t>MARRIED</t>
  </si>
  <si>
    <t>Dadar</t>
  </si>
  <si>
    <t>FINEOTERIC CONSULTING PVT LTD</t>
  </si>
  <si>
    <t>Rahul Bhavsar - Rs.3,23,000</t>
  </si>
  <si>
    <t>BRNPG9815L</t>
  </si>
  <si>
    <t>GARCHU025@GMAIL.COM</t>
  </si>
  <si>
    <t>ROOM NO-121,OM GANESH NAGAR,C LINE ,R C MARG,VASHI NAKA,NEAR POLICE STATION,CHEMBUR,MUMBAI-400074.</t>
  </si>
  <si>
    <t>JAYESH NARKAR</t>
  </si>
  <si>
    <t>365602010097924</t>
  </si>
  <si>
    <t>UBIN0563684</t>
  </si>
  <si>
    <t>NANDKUMAR GARAD</t>
  </si>
  <si>
    <t>ARCHANA NANDKUMAR GARAD</t>
  </si>
  <si>
    <t>Gaurav A Singh</t>
  </si>
  <si>
    <t>Arvind Kumar Singh</t>
  </si>
  <si>
    <t>EIFPS6404H</t>
  </si>
  <si>
    <t>SINGHGAURAV251@GMAIL.COM</t>
  </si>
  <si>
    <t>6670-6314-3271</t>
  </si>
  <si>
    <t>I-202, Geeta Nagar, Phase-6, Opp Kanungo Estate, Mira-Bhayander, Thane, Maharashtra, 401107.</t>
  </si>
  <si>
    <t>STATE BANK OF INDIA</t>
  </si>
  <si>
    <t>32649894050</t>
  </si>
  <si>
    <t>SBIN0061691</t>
  </si>
  <si>
    <t>100151737269</t>
  </si>
  <si>
    <t>NISHA AMAR GAIKWAD</t>
  </si>
  <si>
    <t>Brijesh Mishra</t>
  </si>
  <si>
    <t>BCTPG5787N</t>
  </si>
  <si>
    <t>nisaag@gmail.com</t>
  </si>
  <si>
    <t>8570 0830 6596</t>
  </si>
  <si>
    <t>W/O AMAR GAIKWAD,A-203 K.T NAGAR PHASE 1, SAI NAGAR , AMBADI ROAD, NEAR PADMAVATI HOSPITAL,VASAI ROAD, MAHARASHTRA 401202</t>
  </si>
  <si>
    <t>NISHA_USHAM TEAM</t>
  </si>
  <si>
    <t xml:space="preserve">Borivali </t>
  </si>
  <si>
    <t>413200100000405</t>
  </si>
  <si>
    <t>SRCB0000143</t>
  </si>
  <si>
    <t>NEED TO CHECK</t>
  </si>
  <si>
    <t>AXIS BANK</t>
  </si>
  <si>
    <t>UTR NUMBER</t>
  </si>
  <si>
    <t>aryan.belose854@gmail.com</t>
  </si>
  <si>
    <t>Janu bhoir chawl No.4, Room no. 2, Vasundri road near babaji colony, Manda titawala, Thane, 421605.</t>
  </si>
  <si>
    <t>javedmary201@gmail.com</t>
  </si>
  <si>
    <t>Sr. Accountant</t>
  </si>
  <si>
    <t>FIN00023</t>
  </si>
  <si>
    <t>Total 1 Day Leave, 1 Day Leave Waived</t>
  </si>
  <si>
    <t>MADHUKAR HATEKAR</t>
  </si>
  <si>
    <t>50100564022548</t>
  </si>
  <si>
    <t>HDFC0000543</t>
  </si>
  <si>
    <t> 8459464994</t>
  </si>
  <si>
    <t>BOYPH0757J</t>
  </si>
  <si>
    <t>hatekarsanjeevni@gmail.com</t>
  </si>
  <si>
    <t>3229 6261 0854</t>
  </si>
  <si>
    <t>ROOM NO 202 SHAKTI APT VIRAR ROAD NEAR NUTAN VIDYALYAY OM NAGAR VASAI-401209</t>
  </si>
  <si>
    <t>JITENDRA GUPTA</t>
  </si>
  <si>
    <t>EOCPG4704R</t>
  </si>
  <si>
    <t>khushboogupta12mau@gmail.com</t>
  </si>
  <si>
    <t>9303 8570 7144</t>
  </si>
  <si>
    <t xml:space="preserve">D-8 PENKAR PADA MAHAVIR NAGAR MIRA ROAD THANE-401105 </t>
  </si>
  <si>
    <t>BOB</t>
  </si>
  <si>
    <t>10348100005306</t>
  </si>
  <si>
    <t>BARB0MAUNAT</t>
  </si>
  <si>
    <t>SANJIVANI MADHUKAR HATEKAR</t>
  </si>
  <si>
    <t>KHUSBOO JITENDRA GUPTA</t>
  </si>
  <si>
    <t>SALARY WORKING FOR THE MONTH OF APR-2026</t>
  </si>
  <si>
    <t>FIN00024</t>
  </si>
  <si>
    <t>FIN00025</t>
  </si>
  <si>
    <t>FIN00026</t>
  </si>
  <si>
    <t>FIN00027</t>
  </si>
  <si>
    <t>FIN00028</t>
  </si>
  <si>
    <t>FIN00029</t>
  </si>
  <si>
    <t>FIN00030</t>
  </si>
  <si>
    <t>FIN00031</t>
  </si>
  <si>
    <t>FIN00032</t>
  </si>
  <si>
    <t>FIN00033</t>
  </si>
  <si>
    <t>FIN00034</t>
  </si>
  <si>
    <t>FIN00035</t>
  </si>
  <si>
    <t>FIN00037</t>
  </si>
  <si>
    <t>FIN00038</t>
  </si>
  <si>
    <t>FIN00039</t>
  </si>
  <si>
    <t>FIN00040</t>
  </si>
  <si>
    <t>FIN00041</t>
  </si>
  <si>
    <t>FIN00042</t>
  </si>
  <si>
    <t>FIN00043</t>
  </si>
  <si>
    <t>FIN00045</t>
  </si>
  <si>
    <t>FIN00046</t>
  </si>
  <si>
    <t>FIN00047</t>
  </si>
  <si>
    <t>FIN00048</t>
  </si>
  <si>
    <t>FIN00049</t>
  </si>
  <si>
    <t>FIN00050</t>
  </si>
  <si>
    <t>FIN00051</t>
  </si>
  <si>
    <t>FIN00052</t>
  </si>
  <si>
    <t>FIN00053</t>
  </si>
  <si>
    <t>FIN00054</t>
  </si>
  <si>
    <t>FIN00055</t>
  </si>
  <si>
    <t>FIN00056</t>
  </si>
  <si>
    <t>FIN00057</t>
  </si>
  <si>
    <t>FIN00058</t>
  </si>
  <si>
    <t>FIN00059</t>
  </si>
  <si>
    <t>FIN00060</t>
  </si>
  <si>
    <t>FIN00061</t>
  </si>
  <si>
    <t>FIN00062</t>
  </si>
  <si>
    <t>FIN00063</t>
  </si>
  <si>
    <t>FIN00064</t>
  </si>
  <si>
    <t>FIN00065</t>
  </si>
  <si>
    <t>FIN00066</t>
  </si>
  <si>
    <t>FIN00067</t>
  </si>
  <si>
    <t>FIN00068</t>
  </si>
  <si>
    <t>FIN00070</t>
  </si>
  <si>
    <t>FIN00077</t>
  </si>
  <si>
    <t>FIN00079</t>
  </si>
  <si>
    <t>50% salary to be processed</t>
  </si>
  <si>
    <t>Total 2 Day Leave, 2 Day Leave Waived</t>
  </si>
  <si>
    <t>FCLLP0085</t>
  </si>
  <si>
    <t>MAHENDRA BHARAT MHASKE</t>
  </si>
  <si>
    <t>AQNPM9248F</t>
  </si>
  <si>
    <t>50100185211575</t>
  </si>
  <si>
    <t>HDFC0000665</t>
  </si>
  <si>
    <t>Salary Increased from 16k to 17k Apr-26</t>
  </si>
  <si>
    <t>Total 2.5 Day Leave, 2 Day Leave Waived</t>
  </si>
  <si>
    <t>Total 5.5 Day Leave, 2 Day Leave Waived</t>
  </si>
  <si>
    <t>Total 4 Day Leave, 2 Day Leave Waived</t>
  </si>
  <si>
    <t>NEW JOINEE</t>
  </si>
  <si>
    <t xml:space="preserve">SNEHA GURUPRASAD VISHWAKARMA </t>
  </si>
  <si>
    <t xml:space="preserve">GURUPRASAD </t>
  </si>
  <si>
    <t>CKMPV4140A</t>
  </si>
  <si>
    <t>snehavishwakrma70@gmail.com</t>
  </si>
  <si>
    <t>4864 0530 5002</t>
  </si>
  <si>
    <t>G-11, ROOM NO.5, PRABHAT CHAWL, DURGA WELFARE SOCIETY, AKURLI ROAD, KANDIVALI EAST 400101.</t>
  </si>
  <si>
    <t>24-05-2004</t>
  </si>
  <si>
    <t>5547306554</t>
  </si>
  <si>
    <t>KKBK0000633</t>
  </si>
  <si>
    <t>FCPL0108</t>
  </si>
  <si>
    <t>JANSI MARIYAL SHEETY</t>
  </si>
  <si>
    <t xml:space="preserve">SURAJ SHETTY </t>
  </si>
  <si>
    <t>PDJPS7684M</t>
  </si>
  <si>
    <t>Mariyalshetty29@gmail.com</t>
  </si>
  <si>
    <t>4655 7028 1856</t>
  </si>
  <si>
    <t>07 SHANIVAR B KENI CHAWL, NAHAR NAGAR ROAD, NEAR K.G. MITTAL COLLEGE, BHANDARWADA, MALAD WEST, MUMBAI-400064.</t>
  </si>
  <si>
    <t>923010034155531</t>
  </si>
  <si>
    <t>UTIB0000219</t>
  </si>
  <si>
    <t>VINAYAK MANVE</t>
  </si>
  <si>
    <t>BJZPM5927K</t>
  </si>
  <si>
    <t>6786 7537 7332</t>
  </si>
  <si>
    <t>B/401, GOKUL NAGARI - II, A AND B CHS LTD. OFF WESTERN EXPRESS HIGHWAY, OPP. SAI DHAM MANDIR, THAKUR VILLAGE, KANDIVALI EAST. 400101.</t>
  </si>
  <si>
    <t>RM</t>
  </si>
  <si>
    <t>SIDDHANT VINAYAK MANVE</t>
  </si>
  <si>
    <t>3446634907</t>
  </si>
  <si>
    <t>siddhantmanve.com@gmail.com</t>
  </si>
  <si>
    <t>Recharge Added, Salary is 15k</t>
  </si>
  <si>
    <t>Row Labels</t>
  </si>
  <si>
    <t>(blank)</t>
  </si>
  <si>
    <t>Grand Total</t>
  </si>
  <si>
    <t>Sum of Total Leaves Gross Earning2</t>
  </si>
  <si>
    <t>Sum of Net Payable</t>
  </si>
  <si>
    <t>Pending as on 02-05-2026 (Advance Balance before Salary Apr-2026)</t>
  </si>
  <si>
    <t>KEDAR SHEMBEKAR -9,000</t>
  </si>
  <si>
    <t>Pankaj Rale -8,000</t>
  </si>
  <si>
    <t>Priya Joshi _ 36,000</t>
  </si>
  <si>
    <t>SANJAY BHOSALE -2,50,000</t>
  </si>
  <si>
    <t>Hitesh Kaka - 6,000</t>
  </si>
  <si>
    <t>FCPL0112</t>
  </si>
  <si>
    <t>HARSHADA DEEPAK WADEKAR</t>
  </si>
  <si>
    <t>DEEPAK ATMARAM WADEKAR</t>
  </si>
  <si>
    <t>ABQPW1718A</t>
  </si>
  <si>
    <t>wadekarharshada00@gmail.com</t>
  </si>
  <si>
    <t>3968 9593 5625</t>
  </si>
  <si>
    <t>201, MOHAK HOUSE 2A, 2 ND FLOOR, MORYA NAGAR, VIRAR EAST, THANE 401303.</t>
  </si>
  <si>
    <t>TEAM MANAGER</t>
  </si>
  <si>
    <t>SALES</t>
  </si>
  <si>
    <t>USHAM_Harshada</t>
  </si>
  <si>
    <t>99980125289459</t>
  </si>
  <si>
    <t>101407959538</t>
  </si>
  <si>
    <t>VIKAS VIDHATA CHAUHAN</t>
  </si>
  <si>
    <t>Vidhata Chauhan</t>
  </si>
  <si>
    <t>CJWPC5748L</t>
  </si>
  <si>
    <t>vikaschauhan9000@gmail.com</t>
  </si>
  <si>
    <t>8987 3216 6323</t>
  </si>
  <si>
    <t>GANPAT PATIL NAGAR, IC COLONY, NEW LINK ROAD, BORIVALI WEST, MUMBAI-400103</t>
  </si>
  <si>
    <t>0945613747</t>
  </si>
  <si>
    <t>KKBK0001387</t>
  </si>
  <si>
    <t>101905062955</t>
  </si>
  <si>
    <t>KARUNA RAKESH KAMDAR</t>
  </si>
  <si>
    <t>KARUNA J PATEL</t>
  </si>
  <si>
    <t>JAGDISHBHAI PATEL</t>
  </si>
  <si>
    <t>AXYPP8846Q</t>
  </si>
  <si>
    <t>karunaharshvi@gmail.com</t>
  </si>
  <si>
    <t>7895 0450 0503</t>
  </si>
  <si>
    <t>FLAT NO - 803, WING B, 19 NORTH, OFF LINK ROAD, KANDIVALI (W), 400067</t>
  </si>
  <si>
    <t>BANK OF INDIA</t>
  </si>
  <si>
    <t>005119210000041</t>
  </si>
  <si>
    <t>BKID0000051</t>
  </si>
  <si>
    <t>FCPL0110</t>
  </si>
  <si>
    <t>PARTH RAGHUNATH CHATE</t>
  </si>
  <si>
    <t>RAGHUNATH CHATE</t>
  </si>
  <si>
    <t>ADPPC1541E</t>
  </si>
  <si>
    <t>parthchate@yahoo.com</t>
  </si>
  <si>
    <t>5228 9425 9992</t>
  </si>
  <si>
    <t>A/23 JAY AMBE NAGAR, NEAR UDGAM SCHOOL THALTEJ AHMEDABAD CITY, BODAKDEV AHMADABAD,  GUJRATA - 380054</t>
  </si>
  <si>
    <t>Consultant</t>
  </si>
  <si>
    <t>Usham_ PARTH CHATE</t>
  </si>
  <si>
    <t>Ahmedabad</t>
  </si>
  <si>
    <t>AXIS BANK LTD.</t>
  </si>
  <si>
    <t>917010077593355</t>
  </si>
  <si>
    <t>UTIB0000003</t>
  </si>
  <si>
    <t>SIDDHI SIDDHESH BERDE</t>
  </si>
  <si>
    <t>PARSHURAM KAMERKAR</t>
  </si>
  <si>
    <t>BDPPK8122G</t>
  </si>
  <si>
    <t>siddhisberde143@gmail.com</t>
  </si>
  <si>
    <t>6180 9772 3182</t>
  </si>
  <si>
    <t>Jogeshwari</t>
  </si>
  <si>
    <t>OPERATIONS - MANAGER</t>
  </si>
  <si>
    <t>Sales -BACKOFFICE</t>
  </si>
  <si>
    <t>DANNY</t>
  </si>
  <si>
    <t>ANDHERI</t>
  </si>
  <si>
    <t>009010110020180</t>
  </si>
  <si>
    <t>BKID0000090</t>
  </si>
  <si>
    <t>AKASH SURESH UPADHYAY</t>
  </si>
  <si>
    <t>MALE</t>
  </si>
  <si>
    <t>SURESH</t>
  </si>
  <si>
    <t>UNMARRIED</t>
  </si>
  <si>
    <t>AKOPU1038J</t>
  </si>
  <si>
    <t>akupadhyaya5@gmail.com</t>
  </si>
  <si>
    <t>63065 76049</t>
  </si>
  <si>
    <t>4810 6073 1115</t>
  </si>
  <si>
    <t>Virar</t>
  </si>
  <si>
    <t>Branch Sales Manager</t>
  </si>
  <si>
    <t>50100466204140</t>
  </si>
  <si>
    <t>HDFC0009358</t>
  </si>
  <si>
    <t>SUPRIYA SAGAR SALVI</t>
  </si>
  <si>
    <t>I040526168638432</t>
  </si>
  <si>
    <t>I040526168638499</t>
  </si>
  <si>
    <t xml:space="preserve"> I050526148740079 </t>
  </si>
  <si>
    <t>I050526148740078</t>
  </si>
  <si>
    <t>I050526148740076</t>
  </si>
  <si>
    <t>FBPT261268052392</t>
  </si>
  <si>
    <t>FBPT261268052389</t>
  </si>
  <si>
    <t>FBPT261318389436</t>
  </si>
  <si>
    <t>I040526168638418</t>
  </si>
  <si>
    <t>I040526168638419</t>
  </si>
  <si>
    <t>I040526168638420</t>
  </si>
  <si>
    <t>I040526168638421</t>
  </si>
  <si>
    <t>I040526168638422</t>
  </si>
  <si>
    <t>I040526168638423</t>
  </si>
  <si>
    <t>I040526168638424</t>
  </si>
  <si>
    <t>I040526168638440</t>
  </si>
  <si>
    <t>I040526168638425</t>
  </si>
  <si>
    <t>I040526168638474</t>
  </si>
  <si>
    <t>I040526168638426</t>
  </si>
  <si>
    <t>I040526168638486</t>
  </si>
  <si>
    <t>I040526168638427</t>
  </si>
  <si>
    <t>I040526168638475</t>
  </si>
  <si>
    <t>I040526168638487</t>
  </si>
  <si>
    <t>I040526168638488</t>
  </si>
  <si>
    <t>I040526168638441</t>
  </si>
  <si>
    <t>I040526168638442</t>
  </si>
  <si>
    <t>I040526168638428</t>
  </si>
  <si>
    <t>I040526168638443</t>
  </si>
  <si>
    <t>I040526168638489</t>
  </si>
  <si>
    <t>I040526168638429</t>
  </si>
  <si>
    <t>I040526168638430</t>
  </si>
  <si>
    <t>I040526168638476</t>
  </si>
  <si>
    <t>I040526168638477</t>
  </si>
  <si>
    <t>I040526168638431</t>
  </si>
  <si>
    <t>I040526168638478</t>
  </si>
  <si>
    <t>I040526168638479</t>
  </si>
  <si>
    <t>I040526168638480</t>
  </si>
  <si>
    <t>I040526168638490</t>
  </si>
  <si>
    <t>I040526168638433</t>
  </si>
  <si>
    <t>I040526168638434</t>
  </si>
  <si>
    <t>I040526168638435</t>
  </si>
  <si>
    <t>I040526168638436</t>
  </si>
  <si>
    <t>I040526168638437</t>
  </si>
  <si>
    <t>I040526168638438</t>
  </si>
  <si>
    <t>I040526168638481</t>
  </si>
  <si>
    <t>I040526168638482</t>
  </si>
  <si>
    <t>I040526168638483</t>
  </si>
  <si>
    <t>I040526168638484</t>
  </si>
  <si>
    <t>I040526168638491</t>
  </si>
  <si>
    <t>I040526168638492</t>
  </si>
  <si>
    <t>I040526168638493</t>
  </si>
  <si>
    <t>I040526168638494</t>
  </si>
  <si>
    <t>I040526168638444</t>
  </si>
  <si>
    <t>I040526168638495</t>
  </si>
  <si>
    <t>I040526168638496</t>
  </si>
  <si>
    <t>I040526168638497</t>
  </si>
  <si>
    <t>I040526168638498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</si>
</sst>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m/d/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  <font>
      <sz val="11"/>
      <color rgb="FF7030A0"/>
      <name val="Calibri"/>
      <family val="2"/>
      <scheme val="minor"/>
    </font>
    <font>
      <sz val="9"/>
      <color rgb="FF7030A0"/>
      <name val="Trebuchet MS"/>
      <family val="2"/>
    </font>
    <font>
      <sz val="11"/>
      <color rgb="FF7030A0"/>
      <name val="Calibri"/>
      <family val="2"/>
    </font>
    <font>
      <sz val="11"/>
      <color rgb="FF7030A0"/>
      <name val="Trebuchet MS"/>
      <family val="2"/>
    </font>
    <font>
      <u/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1"/>
      <color theme="10"/>
      <name val="Calibri"/>
      <family val="2"/>
      <scheme val="minor"/>
    </font>
    <font>
      <sz val="10"/>
      <color rgb="FF7030A0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1" fillId="0" borderId="0" applyNumberFormat="0" applyFill="0" applyBorder="0" applyAlignment="0" applyProtection="0">
      <alignment vertical="center"/>
    </xf>
  </cellStyleXfs>
  <cellXfs count="122">
    <xf numFmtId="0" fontId="0" fillId="0" borderId="0" xfId="0"/>
    <xf numFmtId="0" fontId="7" fillId="0" borderId="0" xfId="0" applyFont="1"/>
    <xf numFmtId="0" fontId="5" fillId="0" borderId="0" xfId="0" quotePrefix="1" applyFont="1" applyAlignment="1">
      <alignment wrapText="1"/>
    </xf>
    <xf numFmtId="0" fontId="9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4" fillId="0" borderId="1" xfId="0" applyFont="1" applyBorder="1" applyAlignment="1">
      <alignment horizontal="right"/>
    </xf>
    <xf numFmtId="165" fontId="4" fillId="0" borderId="1" xfId="1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right" wrapText="1"/>
    </xf>
    <xf numFmtId="165" fontId="5" fillId="0" borderId="0" xfId="1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17" fontId="5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9" fillId="0" borderId="0" xfId="0" applyFont="1"/>
    <xf numFmtId="1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166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" fontId="9" fillId="0" borderId="1" xfId="0" applyNumberFormat="1" applyFont="1" applyBorder="1" applyAlignment="1">
      <alignment horizontal="right"/>
    </xf>
    <xf numFmtId="14" fontId="9" fillId="0" borderId="0" xfId="0" applyNumberFormat="1" applyFont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165" fontId="4" fillId="0" borderId="1" xfId="1" applyNumberFormat="1" applyFont="1" applyFill="1" applyBorder="1" applyAlignment="1">
      <alignment horizontal="center"/>
    </xf>
    <xf numFmtId="14" fontId="5" fillId="0" borderId="1" xfId="0" applyNumberFormat="1" applyFont="1" applyBorder="1"/>
    <xf numFmtId="0" fontId="12" fillId="0" borderId="1" xfId="3" applyFont="1" applyFill="1" applyBorder="1" applyAlignment="1"/>
    <xf numFmtId="1" fontId="5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quotePrefix="1" applyFont="1" applyBorder="1"/>
    <xf numFmtId="0" fontId="5" fillId="0" borderId="1" xfId="3" applyFont="1" applyFill="1" applyBorder="1" applyAlignment="1"/>
    <xf numFmtId="0" fontId="5" fillId="0" borderId="1" xfId="0" applyFont="1" applyBorder="1"/>
    <xf numFmtId="0" fontId="12" fillId="0" borderId="1" xfId="3" applyFont="1" applyFill="1" applyBorder="1" applyAlignment="1" applyProtection="1"/>
    <xf numFmtId="0" fontId="5" fillId="0" borderId="1" xfId="0" applyFont="1" applyBorder="1" applyAlignment="1">
      <alignment vertical="center"/>
    </xf>
    <xf numFmtId="0" fontId="13" fillId="0" borderId="1" xfId="0" applyFont="1" applyBorder="1"/>
    <xf numFmtId="0" fontId="5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165" fontId="4" fillId="0" borderId="1" xfId="1" applyNumberFormat="1" applyFont="1" applyFill="1" applyBorder="1" applyAlignment="1">
      <alignment horizontal="left"/>
    </xf>
    <xf numFmtId="165" fontId="5" fillId="0" borderId="1" xfId="1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165" fontId="5" fillId="0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left"/>
    </xf>
    <xf numFmtId="165" fontId="5" fillId="0" borderId="0" xfId="0" applyNumberFormat="1" applyFont="1" applyAlignment="1">
      <alignment horizontal="left"/>
    </xf>
    <xf numFmtId="0" fontId="12" fillId="0" borderId="1" xfId="3" applyFont="1" applyFill="1" applyBorder="1"/>
    <xf numFmtId="1" fontId="5" fillId="0" borderId="1" xfId="0" applyNumberFormat="1" applyFont="1" applyBorder="1" applyAlignment="1">
      <alignment horizontal="center"/>
    </xf>
    <xf numFmtId="0" fontId="5" fillId="0" borderId="1" xfId="0" quotePrefix="1" applyFont="1" applyBorder="1" applyAlignment="1">
      <alignment vertical="center"/>
    </xf>
    <xf numFmtId="1" fontId="5" fillId="0" borderId="1" xfId="0" quotePrefix="1" applyNumberFormat="1" applyFont="1" applyBorder="1" applyAlignment="1">
      <alignment vertical="center"/>
    </xf>
    <xf numFmtId="167" fontId="13" fillId="0" borderId="1" xfId="0" applyNumberFormat="1" applyFont="1" applyBorder="1"/>
    <xf numFmtId="1" fontId="5" fillId="0" borderId="1" xfId="0" applyNumberFormat="1" applyFont="1" applyBorder="1"/>
    <xf numFmtId="0" fontId="14" fillId="0" borderId="1" xfId="0" applyFont="1" applyBorder="1" applyAlignment="1">
      <alignment horizontal="left"/>
    </xf>
    <xf numFmtId="14" fontId="14" fillId="0" borderId="1" xfId="0" applyNumberFormat="1" applyFont="1" applyBorder="1"/>
    <xf numFmtId="0" fontId="14" fillId="0" borderId="1" xfId="0" applyFont="1" applyBorder="1"/>
    <xf numFmtId="0" fontId="14" fillId="0" borderId="1" xfId="0" quotePrefix="1" applyFont="1" applyBorder="1"/>
    <xf numFmtId="14" fontId="14" fillId="0" borderId="1" xfId="0" applyNumberFormat="1" applyFont="1" applyBorder="1" applyAlignment="1">
      <alignment horizontal="center"/>
    </xf>
    <xf numFmtId="165" fontId="14" fillId="0" borderId="1" xfId="1" applyNumberFormat="1" applyFont="1" applyFill="1" applyBorder="1" applyAlignment="1">
      <alignment horizontal="right"/>
    </xf>
    <xf numFmtId="0" fontId="14" fillId="0" borderId="1" xfId="0" applyFont="1" applyBorder="1" applyAlignment="1">
      <alignment horizontal="center"/>
    </xf>
    <xf numFmtId="165" fontId="14" fillId="0" borderId="1" xfId="1" applyNumberFormat="1" applyFont="1" applyFill="1" applyBorder="1" applyAlignment="1">
      <alignment horizontal="center" vertical="center"/>
    </xf>
    <xf numFmtId="165" fontId="14" fillId="0" borderId="1" xfId="1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right"/>
    </xf>
    <xf numFmtId="1" fontId="14" fillId="0" borderId="1" xfId="0" applyNumberFormat="1" applyFont="1" applyBorder="1" applyAlignment="1">
      <alignment horizontal="center"/>
    </xf>
    <xf numFmtId="0" fontId="14" fillId="0" borderId="1" xfId="0" applyFont="1" applyBorder="1" applyProtection="1">
      <protection locked="0"/>
    </xf>
    <xf numFmtId="0" fontId="14" fillId="0" borderId="0" xfId="0" applyFont="1" applyAlignment="1">
      <alignment horizontal="right"/>
    </xf>
    <xf numFmtId="0" fontId="14" fillId="0" borderId="1" xfId="0" quotePrefix="1" applyFont="1" applyBorder="1" applyProtection="1">
      <protection locked="0"/>
    </xf>
    <xf numFmtId="0" fontId="14" fillId="0" borderId="1" xfId="0" quotePrefix="1" applyFont="1" applyBorder="1" applyAlignment="1">
      <alignment horizontal="left"/>
    </xf>
    <xf numFmtId="0" fontId="14" fillId="0" borderId="1" xfId="0" applyFont="1" applyBorder="1" applyAlignment="1" applyProtection="1">
      <alignment horizontal="left"/>
      <protection locked="0"/>
    </xf>
    <xf numFmtId="165" fontId="14" fillId="0" borderId="1" xfId="1" applyNumberFormat="1" applyFont="1" applyFill="1" applyBorder="1" applyAlignment="1"/>
    <xf numFmtId="0" fontId="14" fillId="0" borderId="1" xfId="0" applyFont="1" applyBorder="1" applyAlignment="1" applyProtection="1">
      <alignment horizontal="right"/>
      <protection locked="0"/>
    </xf>
    <xf numFmtId="1" fontId="14" fillId="0" borderId="1" xfId="0" quotePrefix="1" applyNumberFormat="1" applyFont="1" applyBorder="1"/>
    <xf numFmtId="0" fontId="14" fillId="0" borderId="1" xfId="0" quotePrefix="1" applyFont="1" applyBorder="1" applyAlignment="1" applyProtection="1">
      <alignment horizontal="left"/>
      <protection locked="0"/>
    </xf>
    <xf numFmtId="0" fontId="16" fillId="0" borderId="1" xfId="0" quotePrefix="1" applyFont="1" applyBorder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1" fontId="14" fillId="0" borderId="1" xfId="0" applyNumberFormat="1" applyFont="1" applyBorder="1" applyAlignment="1">
      <alignment vertical="center"/>
    </xf>
    <xf numFmtId="0" fontId="17" fillId="0" borderId="1" xfId="0" applyFont="1" applyBorder="1" applyProtection="1">
      <protection locked="0"/>
    </xf>
    <xf numFmtId="0" fontId="16" fillId="0" borderId="1" xfId="0" applyFont="1" applyBorder="1"/>
    <xf numFmtId="0" fontId="18" fillId="0" borderId="1" xfId="3" applyFont="1" applyFill="1" applyBorder="1" applyAlignment="1"/>
    <xf numFmtId="0" fontId="18" fillId="0" borderId="1" xfId="3" applyFont="1" applyFill="1" applyBorder="1"/>
    <xf numFmtId="0" fontId="19" fillId="0" borderId="1" xfId="0" applyFont="1" applyBorder="1" applyAlignment="1">
      <alignment horizontal="left"/>
    </xf>
    <xf numFmtId="14" fontId="19" fillId="0" borderId="1" xfId="0" applyNumberFormat="1" applyFont="1" applyBorder="1"/>
    <xf numFmtId="0" fontId="20" fillId="0" borderId="1" xfId="0" applyFont="1" applyBorder="1"/>
    <xf numFmtId="0" fontId="19" fillId="0" borderId="1" xfId="0" applyFont="1" applyBorder="1"/>
    <xf numFmtId="1" fontId="19" fillId="0" borderId="1" xfId="0" applyNumberFormat="1" applyFont="1" applyBorder="1" applyAlignment="1">
      <alignment vertical="center"/>
    </xf>
    <xf numFmtId="14" fontId="19" fillId="0" borderId="1" xfId="0" applyNumberFormat="1" applyFont="1" applyBorder="1" applyAlignment="1">
      <alignment horizontal="center"/>
    </xf>
    <xf numFmtId="165" fontId="19" fillId="0" borderId="1" xfId="1" applyNumberFormat="1" applyFont="1" applyFill="1" applyBorder="1" applyAlignment="1">
      <alignment horizontal="right"/>
    </xf>
    <xf numFmtId="0" fontId="19" fillId="0" borderId="1" xfId="0" applyFont="1" applyBorder="1" applyAlignment="1">
      <alignment horizontal="center"/>
    </xf>
    <xf numFmtId="165" fontId="19" fillId="0" borderId="1" xfId="1" applyNumberFormat="1" applyFont="1" applyFill="1" applyBorder="1" applyAlignment="1">
      <alignment horizontal="center" vertical="center"/>
    </xf>
    <xf numFmtId="0" fontId="21" fillId="0" borderId="1" xfId="3" applyFont="1" applyFill="1" applyBorder="1" applyAlignment="1"/>
    <xf numFmtId="14" fontId="19" fillId="0" borderId="1" xfId="0" quotePrefix="1" applyNumberFormat="1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14" fillId="0" borderId="1" xfId="3" applyFont="1" applyFill="1" applyBorder="1" applyAlignment="1"/>
    <xf numFmtId="1" fontId="14" fillId="0" borderId="1" xfId="0" applyNumberFormat="1" applyFont="1" applyBorder="1" applyAlignment="1">
      <alignment horizontal="left"/>
    </xf>
    <xf numFmtId="1" fontId="14" fillId="0" borderId="1" xfId="0" quotePrefix="1" applyNumberFormat="1" applyFont="1" applyBorder="1" applyAlignment="1">
      <alignment horizontal="left"/>
    </xf>
    <xf numFmtId="14" fontId="0" fillId="0" borderId="1" xfId="0" applyNumberFormat="1" applyBorder="1"/>
    <xf numFmtId="0" fontId="0" fillId="0" borderId="1" xfId="0" applyBorder="1"/>
    <xf numFmtId="0" fontId="23" fillId="0" borderId="1" xfId="3" applyFont="1" applyFill="1" applyBorder="1" applyAlignment="1"/>
    <xf numFmtId="0" fontId="0" fillId="0" borderId="1" xfId="0" quotePrefix="1" applyBorder="1"/>
    <xf numFmtId="14" fontId="0" fillId="0" borderId="1" xfId="0" applyNumberFormat="1" applyBorder="1" applyAlignment="1">
      <alignment horizontal="center"/>
    </xf>
    <xf numFmtId="0" fontId="15" fillId="0" borderId="1" xfId="0" applyFont="1" applyBorder="1" applyAlignment="1" applyProtection="1">
      <alignment horizontal="left" vertical="center"/>
      <protection locked="0"/>
    </xf>
    <xf numFmtId="165" fontId="14" fillId="0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/>
  </cellXfs>
  <cellStyles count="8">
    <cellStyle name="Comma" xfId="1" builtinId="3"/>
    <cellStyle name="Hyperlink" xfId="3" builtinId="8"/>
    <cellStyle name="Hyperlink 2" xfId="4" xr:uid="{00000000-0005-0000-0000-000002000000}"/>
    <cellStyle name="Hyperlink 3" xfId="5" xr:uid="{00000000-0005-0000-0000-000003000000}"/>
    <cellStyle name="Hyperlink 4" xfId="7" xr:uid="{00000000-0005-0000-0000-000004000000}"/>
    <cellStyle name="Normal" xfId="0" builtinId="0"/>
    <cellStyle name="Normal 2" xfId="6" xr:uid="{00000000-0005-0000-0000-000006000000}"/>
    <cellStyle name="Normal 5" xfId="2" xr:uid="{00000000-0005-0000-0000-000007000000}"/>
  </cellStyles>
  <dxfs count="5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office5\d\F.Y.%202024-25\PF%20SALARY%20FY%202024-25\FINAL%20SALARY%20STATEMENT%20FY%202024-25\FCLLP\1.FCLLP%20Payroll%20Sheet%20Oct-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koffice5\d\F.Y.%202024-25\PF%20SALARY%20FY%202024-25\FINAL%20SALARY%20STATEMENT%20FY%202024-25\FCPL\FC%20PL%20Salary%20Sheet%20APR-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dmin/Desktop/Federal%20bank/Final%20Account%20_25-11-2024.xlsx" TargetMode="External"/><Relationship Id="rId1" Type="http://schemas.openxmlformats.org/officeDocument/2006/relationships/externalLinkPath" Target="/Users/Admin/Desktop/Federal%20bank/Final%20Account%20_25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Payroll Sheet"/>
    </sheetNames>
    <sheetDataSet>
      <sheetData sheetId="0" refreshError="1"/>
      <sheetData sheetId="1" refreshError="1">
        <row r="8">
          <cell r="C8" t="str">
            <v>BHOOMI  ASHOK GOHIL</v>
          </cell>
          <cell r="D8" t="str">
            <v>Total 1 Day Leave, 1 Day Leave Waived</v>
          </cell>
          <cell r="E8" t="str">
            <v>Female</v>
          </cell>
          <cell r="F8">
            <v>36612</v>
          </cell>
        </row>
        <row r="9">
          <cell r="C9" t="str">
            <v>PRASHANT RAMDAS ERANDE</v>
          </cell>
          <cell r="D9">
            <v>0</v>
          </cell>
          <cell r="E9" t="str">
            <v>Male</v>
          </cell>
          <cell r="F9">
            <v>33885</v>
          </cell>
        </row>
        <row r="10">
          <cell r="C10" t="str">
            <v>MOSMEE MANOHAR TAMBE</v>
          </cell>
          <cell r="D10">
            <v>0</v>
          </cell>
          <cell r="E10" t="str">
            <v>Female</v>
          </cell>
          <cell r="F10">
            <v>32486</v>
          </cell>
        </row>
        <row r="11">
          <cell r="C11" t="str">
            <v>NILESH MAHADEV BHUJBAL</v>
          </cell>
          <cell r="D11" t="str">
            <v>Total 1 Day Leave, 1 Day Leave Waived</v>
          </cell>
          <cell r="E11" t="str">
            <v>Male</v>
          </cell>
          <cell r="F11">
            <v>30822</v>
          </cell>
        </row>
        <row r="12">
          <cell r="C12" t="str">
            <v>SHRUTI SANJAY BERDE</v>
          </cell>
          <cell r="D12">
            <v>0</v>
          </cell>
          <cell r="E12" t="str">
            <v>Female</v>
          </cell>
          <cell r="F12">
            <v>0</v>
          </cell>
        </row>
        <row r="13">
          <cell r="C13" t="str">
            <v>TANESH GANGARAM JADHAV</v>
          </cell>
          <cell r="D13" t="str">
            <v>Total 2 Day Leave, 2 Day Leave Waived</v>
          </cell>
          <cell r="E13" t="str">
            <v>Male</v>
          </cell>
          <cell r="F13">
            <v>36996</v>
          </cell>
        </row>
        <row r="14">
          <cell r="C14" t="str">
            <v>KEDAR KAMALKANT SHEMBEKAR</v>
          </cell>
          <cell r="D14">
            <v>0</v>
          </cell>
          <cell r="E14" t="str">
            <v>Male</v>
          </cell>
          <cell r="F14">
            <v>28376</v>
          </cell>
        </row>
        <row r="15">
          <cell r="C15" t="str">
            <v>MITESH ASHOK GOHIL</v>
          </cell>
          <cell r="D15" t="str">
            <v>Total 1 Day Leave, 1 Day Leave Waived</v>
          </cell>
          <cell r="E15" t="str">
            <v>Male</v>
          </cell>
          <cell r="F15">
            <v>36084</v>
          </cell>
        </row>
        <row r="16">
          <cell r="C16" t="str">
            <v>ROHIT GAJANAN THALKAR</v>
          </cell>
          <cell r="D16" t="str">
            <v>Total 2 Day Leave, 2 Day Leave Waived</v>
          </cell>
          <cell r="E16" t="str">
            <v>Male</v>
          </cell>
          <cell r="F16">
            <v>35497</v>
          </cell>
        </row>
        <row r="17">
          <cell r="C17" t="str">
            <v>VIJAY GYANABA WAGHMARE</v>
          </cell>
          <cell r="D17" t="str">
            <v>Adjust agst. Advance</v>
          </cell>
          <cell r="E17" t="str">
            <v>Male</v>
          </cell>
          <cell r="F17">
            <v>36195</v>
          </cell>
        </row>
        <row r="18">
          <cell r="C18" t="str">
            <v>MEGHA BHEEM REDDY TIRLAPUR</v>
          </cell>
          <cell r="D18" t="str">
            <v>Total 3 Day Leave, 2 Day Leave Waived</v>
          </cell>
          <cell r="E18" t="str">
            <v>Female</v>
          </cell>
          <cell r="F18">
            <v>35585</v>
          </cell>
        </row>
        <row r="19">
          <cell r="C19" t="str">
            <v>PANCHAL MANGESH DATTARAM</v>
          </cell>
          <cell r="D19">
            <v>0</v>
          </cell>
          <cell r="E19" t="str">
            <v>Male</v>
          </cell>
          <cell r="F19">
            <v>25374</v>
          </cell>
        </row>
        <row r="20">
          <cell r="C20" t="str">
            <v>SUDHIR KADAM</v>
          </cell>
          <cell r="D20">
            <v>0</v>
          </cell>
          <cell r="E20" t="str">
            <v>Male</v>
          </cell>
          <cell r="F20">
            <v>27662</v>
          </cell>
        </row>
        <row r="21">
          <cell r="C21" t="str">
            <v>SNEHAL SUBHASH GAIKAR</v>
          </cell>
          <cell r="D21" t="str">
            <v>JOB LEFT</v>
          </cell>
          <cell r="E21" t="str">
            <v>Female</v>
          </cell>
          <cell r="F21">
            <v>35322</v>
          </cell>
        </row>
        <row r="22">
          <cell r="C22" t="str">
            <v>PANKAJ S RALE</v>
          </cell>
          <cell r="D22">
            <v>0</v>
          </cell>
          <cell r="E22" t="str">
            <v>Male</v>
          </cell>
          <cell r="F22">
            <v>28594</v>
          </cell>
        </row>
        <row r="23">
          <cell r="C23" t="str">
            <v>MAHESH PRAKASH SAPKAL</v>
          </cell>
          <cell r="D23">
            <v>0</v>
          </cell>
          <cell r="E23" t="str">
            <v>Male</v>
          </cell>
          <cell r="F23">
            <v>34286</v>
          </cell>
        </row>
        <row r="24">
          <cell r="C24" t="str">
            <v xml:space="preserve">SUPRIYA SAGAR SALVI </v>
          </cell>
          <cell r="D24" t="str">
            <v>Total 1 Day Leave, 1 Day Leave Waived</v>
          </cell>
          <cell r="E24" t="str">
            <v>Female</v>
          </cell>
          <cell r="F24">
            <v>35059</v>
          </cell>
        </row>
        <row r="25">
          <cell r="C25" t="str">
            <v xml:space="preserve">SUNITA ANAND JADHAV </v>
          </cell>
          <cell r="D25" t="str">
            <v>Total 1.5 Day Leave, 1.5 Day Leave Waived</v>
          </cell>
          <cell r="E25" t="str">
            <v>Female</v>
          </cell>
          <cell r="F25">
            <v>32911</v>
          </cell>
        </row>
        <row r="26">
          <cell r="C26" t="str">
            <v>VAIBHAV VIJAY NEMANE</v>
          </cell>
          <cell r="D26">
            <v>0</v>
          </cell>
          <cell r="E26" t="str">
            <v>Male</v>
          </cell>
          <cell r="F26">
            <v>31731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 Sheet"/>
    </sheetNames>
    <sheetDataSet>
      <sheetData sheetId="0" refreshError="1">
        <row r="8">
          <cell r="C8" t="str">
            <v>Anita Thakkar</v>
          </cell>
          <cell r="D8">
            <v>0</v>
          </cell>
          <cell r="E8" t="str">
            <v>Female</v>
          </cell>
        </row>
        <row r="9">
          <cell r="C9" t="str">
            <v>Chandra Gurung</v>
          </cell>
          <cell r="D9">
            <v>0</v>
          </cell>
          <cell r="E9" t="str">
            <v>Male</v>
          </cell>
        </row>
        <row r="10">
          <cell r="C10" t="str">
            <v>Dimple Kumawat</v>
          </cell>
          <cell r="D10">
            <v>0</v>
          </cell>
          <cell r="E10" t="str">
            <v>Female</v>
          </cell>
        </row>
        <row r="11">
          <cell r="C11" t="str">
            <v>Ganesh Mane</v>
          </cell>
          <cell r="D11">
            <v>0</v>
          </cell>
          <cell r="E11" t="str">
            <v>Male</v>
          </cell>
        </row>
        <row r="12">
          <cell r="C12" t="str">
            <v>Imran Shabbir Khan</v>
          </cell>
          <cell r="D12">
            <v>0</v>
          </cell>
          <cell r="E12" t="str">
            <v>Male</v>
          </cell>
        </row>
        <row r="13">
          <cell r="C13" t="str">
            <v>INDRARAJ HIMMATLAL SHAH</v>
          </cell>
          <cell r="D13">
            <v>0</v>
          </cell>
          <cell r="E13" t="str">
            <v>Male</v>
          </cell>
        </row>
        <row r="14">
          <cell r="C14" t="str">
            <v>Jay Upadhyay</v>
          </cell>
          <cell r="D14">
            <v>0</v>
          </cell>
          <cell r="E14" t="str">
            <v>Male</v>
          </cell>
        </row>
        <row r="15">
          <cell r="C15" t="str">
            <v>Jayshree Pajawe</v>
          </cell>
          <cell r="D15">
            <v>0</v>
          </cell>
          <cell r="E15" t="str">
            <v>Female</v>
          </cell>
        </row>
        <row r="16">
          <cell r="C16" t="str">
            <v>JYOTI SATYPRAKASH SINGH</v>
          </cell>
          <cell r="D16">
            <v>0</v>
          </cell>
          <cell r="E16" t="str">
            <v>Female</v>
          </cell>
        </row>
        <row r="17">
          <cell r="C17" t="str">
            <v>KARISHMA SHARAD RANJANE</v>
          </cell>
          <cell r="D17">
            <v>0</v>
          </cell>
          <cell r="E17" t="str">
            <v>Male</v>
          </cell>
        </row>
        <row r="18">
          <cell r="C18" t="str">
            <v>Laxman Kondhalkar</v>
          </cell>
          <cell r="D18">
            <v>0</v>
          </cell>
          <cell r="E18" t="str">
            <v>Male</v>
          </cell>
        </row>
        <row r="19">
          <cell r="C19" t="str">
            <v>Parin Rajaram Parikh</v>
          </cell>
          <cell r="D19">
            <v>0</v>
          </cell>
          <cell r="E19" t="str">
            <v>Male</v>
          </cell>
        </row>
        <row r="20">
          <cell r="C20" t="str">
            <v>Parish Kapasi</v>
          </cell>
          <cell r="D20">
            <v>0</v>
          </cell>
          <cell r="E20" t="str">
            <v>Male</v>
          </cell>
        </row>
        <row r="21">
          <cell r="C21" t="str">
            <v>Preetendra Kumar Dubey</v>
          </cell>
          <cell r="D21" t="str">
            <v>Total 2 Day Leave, 2 Day Leave Waived</v>
          </cell>
          <cell r="E21" t="str">
            <v>Male</v>
          </cell>
        </row>
        <row r="22">
          <cell r="C22" t="str">
            <v>Priti Pandey</v>
          </cell>
          <cell r="D22" t="str">
            <v>Salary Increase Apr-23 From 20k to 30k</v>
          </cell>
          <cell r="E22" t="str">
            <v>Female</v>
          </cell>
        </row>
        <row r="23">
          <cell r="C23" t="str">
            <v>PRIYA JAGDISH JOSHI</v>
          </cell>
          <cell r="D23" t="str">
            <v>Total 1 Day Leave, 1 Day Leave Waived</v>
          </cell>
          <cell r="E23" t="str">
            <v>Female</v>
          </cell>
        </row>
        <row r="24">
          <cell r="C24" t="str">
            <v>Ravindra Abhiman Gaikwad</v>
          </cell>
          <cell r="D24">
            <v>0</v>
          </cell>
          <cell r="E24" t="str">
            <v>Male</v>
          </cell>
        </row>
        <row r="25">
          <cell r="C25" t="str">
            <v>Rutuja Pandharkame</v>
          </cell>
          <cell r="D25">
            <v>0</v>
          </cell>
          <cell r="E25" t="str">
            <v>Female</v>
          </cell>
        </row>
        <row r="26">
          <cell r="C26" t="str">
            <v>Sanjay Anant Bhosale</v>
          </cell>
          <cell r="D26">
            <v>0</v>
          </cell>
          <cell r="E26" t="str">
            <v>Male</v>
          </cell>
        </row>
        <row r="27">
          <cell r="C27" t="str">
            <v>SAQUIB NASIM RAJA</v>
          </cell>
          <cell r="D27">
            <v>0</v>
          </cell>
          <cell r="E27" t="str">
            <v>Male</v>
          </cell>
        </row>
        <row r="28">
          <cell r="C28" t="str">
            <v>Shashi Sharma</v>
          </cell>
          <cell r="D28">
            <v>0</v>
          </cell>
          <cell r="E28" t="str">
            <v>Male</v>
          </cell>
        </row>
        <row r="29">
          <cell r="C29" t="str">
            <v>SHILPASHREE R</v>
          </cell>
          <cell r="D29">
            <v>0</v>
          </cell>
          <cell r="E29" t="str">
            <v>Female</v>
          </cell>
        </row>
        <row r="30">
          <cell r="C30" t="str">
            <v>Snehal Chetan Tupke</v>
          </cell>
          <cell r="D30" t="str">
            <v>New Joinee</v>
          </cell>
          <cell r="E30" t="str">
            <v>Female</v>
          </cell>
        </row>
        <row r="31">
          <cell r="C31" t="str">
            <v>Suchita Chintamani Pandey</v>
          </cell>
          <cell r="D31">
            <v>0</v>
          </cell>
          <cell r="E31" t="str">
            <v>Female</v>
          </cell>
        </row>
        <row r="32">
          <cell r="C32" t="str">
            <v>TUSHAR INDRARAJ SHAH</v>
          </cell>
          <cell r="D32">
            <v>0</v>
          </cell>
          <cell r="E32" t="str">
            <v>Male</v>
          </cell>
        </row>
        <row r="33">
          <cell r="C33" t="str">
            <v>Usman A L Shaikh</v>
          </cell>
          <cell r="D33" t="str">
            <v>Total 5 Day Leave, 5 Day Leave Waived</v>
          </cell>
          <cell r="E33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9">
          <cell r="F9" t="str">
            <v>PANKAJ SHANTARAM RALE</v>
          </cell>
          <cell r="G9" t="str">
            <v>99980125424866</v>
          </cell>
          <cell r="H9" t="str">
            <v>FDRL0001622</v>
          </cell>
        </row>
        <row r="10">
          <cell r="F10" t="str">
            <v>SUNITA ANAND JADHAV</v>
          </cell>
          <cell r="G10" t="str">
            <v>99980125424908</v>
          </cell>
          <cell r="H10" t="str">
            <v>FDRL0001622</v>
          </cell>
        </row>
        <row r="11">
          <cell r="F11" t="str">
            <v>BHOOMI ASHOK GOHIL</v>
          </cell>
          <cell r="G11" t="str">
            <v>99980125425186</v>
          </cell>
          <cell r="H11" t="str">
            <v>FDRL0001622</v>
          </cell>
        </row>
        <row r="12">
          <cell r="F12" t="str">
            <v>POORNIMA EKNATH SAWANT</v>
          </cell>
          <cell r="G12" t="str">
            <v>99980125424932</v>
          </cell>
          <cell r="H12" t="str">
            <v>FDRL0001622</v>
          </cell>
        </row>
        <row r="13">
          <cell r="F13" t="str">
            <v>NIDHI RAJENDRA SHAH</v>
          </cell>
          <cell r="G13" t="str">
            <v>99980125424940</v>
          </cell>
          <cell r="H13" t="str">
            <v>FDRL0001622</v>
          </cell>
        </row>
        <row r="14">
          <cell r="F14" t="str">
            <v>VRINDA KAMLESH DALVI</v>
          </cell>
          <cell r="G14" t="str">
            <v>99980125421797</v>
          </cell>
          <cell r="H14" t="str">
            <v>FDRL0001622</v>
          </cell>
        </row>
        <row r="15">
          <cell r="F15" t="str">
            <v>DHARA MAHESH MISTRY</v>
          </cell>
          <cell r="G15" t="str">
            <v>99980125426259</v>
          </cell>
          <cell r="H15" t="str">
            <v>FDRL0001622</v>
          </cell>
        </row>
        <row r="16">
          <cell r="F16" t="str">
            <v>PRIYA JAGDISH JOSHI</v>
          </cell>
          <cell r="G16" t="str">
            <v>99980125421813</v>
          </cell>
          <cell r="H16" t="str">
            <v>FDRL0001622</v>
          </cell>
        </row>
        <row r="17">
          <cell r="F17" t="str">
            <v>MAHESH BALU MANVE</v>
          </cell>
          <cell r="G17" t="str">
            <v>99980125425160</v>
          </cell>
          <cell r="H17" t="str">
            <v>FDRL0001622</v>
          </cell>
        </row>
        <row r="18">
          <cell r="F18" t="str">
            <v>SUCHITA CHINTAMANI PANDEY</v>
          </cell>
          <cell r="G18" t="str">
            <v>99980125424841</v>
          </cell>
          <cell r="H18" t="str">
            <v>FDRL0001622</v>
          </cell>
        </row>
        <row r="19">
          <cell r="F19" t="str">
            <v>ROSHAN RUPESH NAIDU</v>
          </cell>
          <cell r="G19" t="str">
            <v>99980125424874</v>
          </cell>
          <cell r="H19" t="str">
            <v>FDRL0001622</v>
          </cell>
        </row>
        <row r="20">
          <cell r="F20" t="str">
            <v>ROSHAN RAVINDRA DHAWADE</v>
          </cell>
          <cell r="G20" t="str">
            <v>99980125424890</v>
          </cell>
          <cell r="H20" t="str">
            <v>FDRL0001622</v>
          </cell>
        </row>
        <row r="21">
          <cell r="F21" t="str">
            <v>KARTIK VIJAY KADAM</v>
          </cell>
          <cell r="G21" t="str">
            <v>99980125424825</v>
          </cell>
          <cell r="H21" t="str">
            <v>FDRL0001622</v>
          </cell>
        </row>
        <row r="22">
          <cell r="F22" t="str">
            <v>SANJAY ANANT BHOSALE</v>
          </cell>
          <cell r="G22" t="str">
            <v>99980125424858</v>
          </cell>
          <cell r="H22" t="str">
            <v>FDRL0001622</v>
          </cell>
        </row>
        <row r="23">
          <cell r="F23" t="str">
            <v>KRUTTIKA ANANT BANDRE</v>
          </cell>
          <cell r="G23" t="str">
            <v>99980125424882</v>
          </cell>
          <cell r="H23" t="str">
            <v>FDRL0001622</v>
          </cell>
        </row>
        <row r="24">
          <cell r="F24" t="str">
            <v>KEDAR KAMALAKANT SHEMBEKAR</v>
          </cell>
          <cell r="G24" t="str">
            <v>99980125425350</v>
          </cell>
          <cell r="H24" t="str">
            <v>FDRL0001622</v>
          </cell>
        </row>
        <row r="25">
          <cell r="F25" t="str">
            <v>NINA AMRUTLAL CHAPATWALA</v>
          </cell>
          <cell r="G25" t="str">
            <v>99980125424833</v>
          </cell>
          <cell r="H25" t="str">
            <v>FDRL0001622</v>
          </cell>
        </row>
        <row r="26">
          <cell r="F26" t="str">
            <v>MITESH ASHOK GOHIL</v>
          </cell>
          <cell r="G26" t="str">
            <v>99980125424999</v>
          </cell>
          <cell r="H26" t="str">
            <v>FDRL0001622</v>
          </cell>
        </row>
        <row r="27">
          <cell r="F27" t="str">
            <v>VAIBHAV VIJAY NEMANE</v>
          </cell>
          <cell r="G27" t="str">
            <v>99980125424957</v>
          </cell>
          <cell r="H27" t="str">
            <v>FDRL0001622</v>
          </cell>
        </row>
        <row r="28">
          <cell r="F28" t="str">
            <v>SNEHA VIJAY PAWAR</v>
          </cell>
          <cell r="G28" t="str">
            <v>99980125425194</v>
          </cell>
          <cell r="H28" t="str">
            <v>FDRL0001622</v>
          </cell>
        </row>
        <row r="29">
          <cell r="F29" t="str">
            <v>PRANALI KULWANT SINGH THUNE</v>
          </cell>
          <cell r="G29" t="str">
            <v>99980126329320</v>
          </cell>
          <cell r="H29" t="str">
            <v>FDRL0001622</v>
          </cell>
        </row>
        <row r="30">
          <cell r="F30" t="str">
            <v>FARUKH RAUF KHAN</v>
          </cell>
          <cell r="G30" t="str">
            <v>99980126333728</v>
          </cell>
          <cell r="H30" t="str">
            <v>FDRL0001622</v>
          </cell>
        </row>
        <row r="31">
          <cell r="F31" t="str">
            <v>SOWMYA JANAK GORADIA</v>
          </cell>
          <cell r="G31" t="str">
            <v>99980126334940</v>
          </cell>
          <cell r="H31" t="str">
            <v>FDRL0001622</v>
          </cell>
        </row>
        <row r="32">
          <cell r="F32" t="str">
            <v>DHARMISHTHA SHANTILAL PARMAR</v>
          </cell>
          <cell r="G32" t="str">
            <v>99980126335038</v>
          </cell>
          <cell r="H32" t="str">
            <v>FDRL0001622</v>
          </cell>
        </row>
        <row r="33">
          <cell r="F33" t="str">
            <v>POOJA RAVINDRA GAVADE</v>
          </cell>
          <cell r="G33" t="str">
            <v>99980126335087</v>
          </cell>
          <cell r="H33" t="str">
            <v>FDRL0001622</v>
          </cell>
        </row>
        <row r="34">
          <cell r="F34" t="str">
            <v>PARVEZ KHAN</v>
          </cell>
          <cell r="G34" t="str">
            <v>99980126334452</v>
          </cell>
          <cell r="H34" t="str">
            <v>FDRL0001622</v>
          </cell>
        </row>
        <row r="35">
          <cell r="F35" t="str">
            <v>PREETENDRA KUMAR DUBEY</v>
          </cell>
          <cell r="G35" t="str">
            <v>99980126334999</v>
          </cell>
          <cell r="H35" t="str">
            <v>FDRL0001622</v>
          </cell>
        </row>
        <row r="36">
          <cell r="F36" t="str">
            <v>SHUBHANGI ASHOK JADHAV</v>
          </cell>
          <cell r="G36" t="str">
            <v>99980126334973</v>
          </cell>
          <cell r="H36" t="str">
            <v>FDRL0001622</v>
          </cell>
        </row>
        <row r="37">
          <cell r="F37" t="str">
            <v>USMAN ABDUL LATIF SHAIKH</v>
          </cell>
          <cell r="G37" t="str">
            <v>99980126335004</v>
          </cell>
          <cell r="H37" t="str">
            <v>FDRL0001622</v>
          </cell>
        </row>
        <row r="38">
          <cell r="F38" t="str">
            <v>RAVINDRA KUMAR KANNAUJIYA</v>
          </cell>
          <cell r="G38" t="str">
            <v>99980126329312</v>
          </cell>
          <cell r="H38" t="str">
            <v>FDRL0001622</v>
          </cell>
        </row>
        <row r="39">
          <cell r="F39" t="str">
            <v>IMRAN KHAN</v>
          </cell>
          <cell r="G39" t="str">
            <v>99980126334486</v>
          </cell>
          <cell r="H39" t="str">
            <v>FDRL0001622</v>
          </cell>
        </row>
        <row r="40">
          <cell r="F40" t="str">
            <v>SANJANA SHASHIKANT SARGAR</v>
          </cell>
          <cell r="G40" t="str">
            <v>99980126334981</v>
          </cell>
          <cell r="H40" t="str">
            <v>FDRL0001622</v>
          </cell>
        </row>
        <row r="41">
          <cell r="F41" t="str">
            <v>SONAL VIPUL MEHTA</v>
          </cell>
          <cell r="G41" t="str">
            <v>99980126335012</v>
          </cell>
          <cell r="H41" t="str">
            <v>FDRL0001622</v>
          </cell>
        </row>
        <row r="42">
          <cell r="F42" t="str">
            <v>MANSI VIPUL GOHIL</v>
          </cell>
          <cell r="G42" t="str">
            <v>99980126335061</v>
          </cell>
          <cell r="H42" t="str">
            <v>FDRL0001622</v>
          </cell>
        </row>
        <row r="43">
          <cell r="F43" t="str">
            <v>PALLAVI SANJIV JOSHI</v>
          </cell>
          <cell r="G43" t="str">
            <v>99980126335053</v>
          </cell>
          <cell r="H43" t="str">
            <v>FDRL0001622</v>
          </cell>
        </row>
        <row r="44">
          <cell r="F44" t="str">
            <v>RUKHSAR RAFIK KHAN</v>
          </cell>
          <cell r="G44" t="str">
            <v>99980126334460</v>
          </cell>
          <cell r="H44" t="str">
            <v>FDRL0001622</v>
          </cell>
        </row>
        <row r="45">
          <cell r="F45" t="str">
            <v>ROHIT GAJANAN THALKAR</v>
          </cell>
          <cell r="G45" t="str">
            <v>99980126335020</v>
          </cell>
          <cell r="H45" t="str">
            <v>FDRL0001622</v>
          </cell>
        </row>
        <row r="46">
          <cell r="F46" t="str">
            <v>SNEHA GURUPRASAD VISHWAKARMA</v>
          </cell>
          <cell r="G46" t="str">
            <v>99980126334965</v>
          </cell>
          <cell r="H46" t="str">
            <v>FDRL0001622</v>
          </cell>
        </row>
        <row r="47">
          <cell r="F47" t="str">
            <v>JAYSHREE RAMESH PAJAWE</v>
          </cell>
          <cell r="G47" t="str">
            <v>99980126335046</v>
          </cell>
          <cell r="H47" t="str">
            <v>FDRL0001622</v>
          </cell>
        </row>
        <row r="48">
          <cell r="F48" t="str">
            <v>SONALI SUBHASH BHOSALE</v>
          </cell>
          <cell r="G48" t="str">
            <v>99980126333702</v>
          </cell>
          <cell r="H48" t="str">
            <v>FDRL0001622</v>
          </cell>
        </row>
        <row r="49">
          <cell r="F49" t="str">
            <v>NIRAJ TULSIRAM PAWAR</v>
          </cell>
          <cell r="G49" t="str">
            <v>99980126333694</v>
          </cell>
          <cell r="H49" t="str">
            <v>FDRL0001622</v>
          </cell>
        </row>
        <row r="50">
          <cell r="F50" t="str">
            <v>KULWANT SINGH THUNE</v>
          </cell>
          <cell r="G50" t="str">
            <v>99980126333710</v>
          </cell>
          <cell r="H50" t="str">
            <v>FDRL0001622</v>
          </cell>
        </row>
        <row r="51">
          <cell r="F51" t="str">
            <v>RAVINDRAKUMAR RAMESHCHANDRA GUPTA</v>
          </cell>
          <cell r="G51" t="str">
            <v>99980126333744</v>
          </cell>
          <cell r="H51" t="str">
            <v>FDRL0001622</v>
          </cell>
        </row>
        <row r="52">
          <cell r="F52" t="str">
            <v>JINNATUNESSA OSMAN GHARAMI</v>
          </cell>
          <cell r="G52" t="str">
            <v>99980126335079</v>
          </cell>
          <cell r="H52" t="str">
            <v>FDRL0001622</v>
          </cell>
        </row>
        <row r="53">
          <cell r="F53" t="str">
            <v>MURALIDHARAN VENKATRAMAN-1</v>
          </cell>
          <cell r="G53" t="str">
            <v>99980126334957</v>
          </cell>
          <cell r="H53" t="str">
            <v>FDRL0001622</v>
          </cell>
        </row>
        <row r="54">
          <cell r="F54" t="str">
            <v>AMARJEET KAUR</v>
          </cell>
          <cell r="G54" t="str">
            <v>99980126335178</v>
          </cell>
          <cell r="H54" t="str">
            <v>FDRL0001622</v>
          </cell>
        </row>
        <row r="55">
          <cell r="F55" t="str">
            <v>DEVESH ARUN KAMBLE</v>
          </cell>
          <cell r="G55" t="str">
            <v>16220100053194</v>
          </cell>
          <cell r="H55" t="str">
            <v>FDRL0001622</v>
          </cell>
        </row>
        <row r="56">
          <cell r="F56" t="str">
            <v>MADHURI PRATHAMESH MANE</v>
          </cell>
          <cell r="G56" t="str">
            <v>99980126333736</v>
          </cell>
          <cell r="H56" t="str">
            <v>FDRL0001622</v>
          </cell>
        </row>
        <row r="57">
          <cell r="F57" t="str">
            <v>RAVINDRA ABHIMAN GAIKWAD</v>
          </cell>
          <cell r="G57" t="str">
            <v>99980126334494</v>
          </cell>
          <cell r="H57" t="str">
            <v>FDRL0001622</v>
          </cell>
        </row>
        <row r="58">
          <cell r="F58" t="str">
            <v>SHRADDHA RUPESH PEDNEKAR</v>
          </cell>
          <cell r="G58" t="str">
            <v>99980126333751</v>
          </cell>
          <cell r="H58" t="str">
            <v>FDRL0001622</v>
          </cell>
        </row>
        <row r="59">
          <cell r="F59" t="str">
            <v>ADITI GANPAT AGONDE</v>
          </cell>
          <cell r="G59" t="str">
            <v>99980126335285</v>
          </cell>
          <cell r="H59" t="str">
            <v>FDRL0001622</v>
          </cell>
        </row>
        <row r="60">
          <cell r="F60" t="str">
            <v>BHUMIKA DILIP JOSHI</v>
          </cell>
          <cell r="G60" t="str">
            <v>99980126335319</v>
          </cell>
          <cell r="H60" t="str">
            <v>FDRL0001622</v>
          </cell>
        </row>
        <row r="61">
          <cell r="F61" t="str">
            <v>CHANDRAKANT GANGARAM CHOUGHULE</v>
          </cell>
          <cell r="G61" t="str">
            <v>99980126333637</v>
          </cell>
          <cell r="H61" t="str">
            <v>FDRL0001622</v>
          </cell>
        </row>
        <row r="62">
          <cell r="F62" t="str">
            <v>DNYANESHWARI ASHOK KEREKAR</v>
          </cell>
          <cell r="G62" t="str">
            <v>99980126335293</v>
          </cell>
          <cell r="H62" t="str">
            <v>FDRL0001622</v>
          </cell>
        </row>
        <row r="63">
          <cell r="F63" t="str">
            <v>HITESH RATILAL SOLANKI</v>
          </cell>
          <cell r="G63" t="str">
            <v>99980126335277</v>
          </cell>
          <cell r="H63" t="str">
            <v>FDRL0001622</v>
          </cell>
        </row>
        <row r="64">
          <cell r="F64" t="str">
            <v>MANGABHAI KESABHAI PARMAR</v>
          </cell>
          <cell r="G64" t="str">
            <v>99980126335335</v>
          </cell>
          <cell r="H64" t="str">
            <v>FDRL0001622</v>
          </cell>
        </row>
        <row r="65">
          <cell r="F65" t="str">
            <v>MANGESH DATTARAM PANCHAL</v>
          </cell>
          <cell r="G65" t="str">
            <v>99980126335426</v>
          </cell>
          <cell r="H65" t="str">
            <v>FDRL0001622</v>
          </cell>
        </row>
        <row r="66">
          <cell r="F66" t="str">
            <v>MEGHA REDDY BHEEM REDDY TIRLAPUR</v>
          </cell>
          <cell r="G66" t="str">
            <v>99980126335327</v>
          </cell>
          <cell r="H66" t="str">
            <v>FDRL0001622</v>
          </cell>
        </row>
        <row r="67">
          <cell r="F67" t="str">
            <v>NILESH MAHADEV BHUJBAL</v>
          </cell>
          <cell r="G67" t="str">
            <v>99980126335343</v>
          </cell>
          <cell r="H67" t="str">
            <v>FDRL0001622</v>
          </cell>
        </row>
        <row r="68">
          <cell r="F68" t="str">
            <v>SHRUTI SANJAY BERDE</v>
          </cell>
          <cell r="G68" t="str">
            <v>99980126335301</v>
          </cell>
          <cell r="H68" t="str">
            <v>FDRL0001622</v>
          </cell>
        </row>
        <row r="69">
          <cell r="F69" t="str">
            <v>SUPRIYA SAGAR SALVI</v>
          </cell>
          <cell r="G69" t="str">
            <v>99980126335434</v>
          </cell>
          <cell r="H69" t="str">
            <v>FDRL0001622</v>
          </cell>
        </row>
        <row r="70">
          <cell r="F70" t="str">
            <v>TANESH GANGARAM JADHAV</v>
          </cell>
          <cell r="G70" t="str">
            <v>99980126335350</v>
          </cell>
          <cell r="H70" t="str">
            <v>FDRL0001622</v>
          </cell>
        </row>
        <row r="71">
          <cell r="F71" t="str">
            <v>VAISHNAVI RAMESH GURAV</v>
          </cell>
          <cell r="G71" t="str">
            <v>99980126335418</v>
          </cell>
          <cell r="H71" t="str">
            <v>FDRL0001622</v>
          </cell>
        </row>
        <row r="72">
          <cell r="F72" t="str">
            <v>VIJAY GYANABA WAGHMARE</v>
          </cell>
          <cell r="G72" t="str">
            <v>99980126335368</v>
          </cell>
          <cell r="H72" t="str">
            <v>FDRL0001622</v>
          </cell>
        </row>
        <row r="73">
          <cell r="F73" t="str">
            <v>MAHESH PRAKASH SAKPAL</v>
          </cell>
          <cell r="G73" t="str">
            <v>99980114025666</v>
          </cell>
          <cell r="H73" t="str">
            <v>FDRL0001176</v>
          </cell>
        </row>
        <row r="74">
          <cell r="F74" t="str">
            <v>BRIJESH NANDALAL PARMAR</v>
          </cell>
          <cell r="G74" t="str">
            <v>99980125289475</v>
          </cell>
          <cell r="H74" t="str">
            <v>FDRL0001622</v>
          </cell>
        </row>
        <row r="75">
          <cell r="F75" t="str">
            <v>PRADNYA NARAYAN KHARAT</v>
          </cell>
          <cell r="G75" t="str">
            <v>99980126332704</v>
          </cell>
          <cell r="H75" t="str">
            <v>FDRL0001622</v>
          </cell>
        </row>
        <row r="76">
          <cell r="F76" t="str">
            <v>OMKAR VISHNU KAMATHE</v>
          </cell>
          <cell r="G76" t="str">
            <v>99980125289210</v>
          </cell>
          <cell r="H76" t="str">
            <v>FDRL0001622</v>
          </cell>
        </row>
        <row r="77">
          <cell r="F77" t="str">
            <v>GITESH MAGANLAL DAKSHINI</v>
          </cell>
          <cell r="G77" t="str">
            <v>99980126328959</v>
          </cell>
          <cell r="H77" t="str">
            <v>FDRL0001622</v>
          </cell>
        </row>
        <row r="78">
          <cell r="F78" t="str">
            <v>HARSHADA DEEPAK WADEKAR</v>
          </cell>
          <cell r="G78" t="str">
            <v>99980125289459</v>
          </cell>
          <cell r="H78" t="str">
            <v>FDRL0001622</v>
          </cell>
        </row>
        <row r="79">
          <cell r="F79" t="str">
            <v>AMUTHAVALLI RAJARAM PILLAI</v>
          </cell>
          <cell r="G79" t="str">
            <v>99980126335517</v>
          </cell>
          <cell r="H79" t="str">
            <v>FDRL0001622</v>
          </cell>
        </row>
        <row r="80">
          <cell r="F80" t="str">
            <v>ISHPREET KAUR CHATWAL</v>
          </cell>
          <cell r="G80" t="str">
            <v>99980125289525</v>
          </cell>
          <cell r="H80" t="str">
            <v>FDRL0001622</v>
          </cell>
        </row>
        <row r="81">
          <cell r="F81" t="str">
            <v>SRUSHTI PRAMOD NAGVEKAR</v>
          </cell>
          <cell r="G81" t="str">
            <v>99980126335194</v>
          </cell>
          <cell r="H81" t="str">
            <v>FDRL0001622</v>
          </cell>
        </row>
        <row r="82">
          <cell r="F82" t="str">
            <v>ROHIT DAGDU UTEKAR</v>
          </cell>
          <cell r="G82" t="str">
            <v>99980126335228</v>
          </cell>
          <cell r="H82" t="str">
            <v>FDRL0001622</v>
          </cell>
        </row>
        <row r="83">
          <cell r="F83" t="str">
            <v>PARUL BHARATKUMAR SHAH</v>
          </cell>
          <cell r="G83" t="str">
            <v>99980125289467</v>
          </cell>
          <cell r="H83" t="str">
            <v>FDRL0001622</v>
          </cell>
        </row>
        <row r="84">
          <cell r="F84" t="str">
            <v>SUDHIR BAJI KADAM</v>
          </cell>
          <cell r="G84" t="str">
            <v>99980126332712</v>
          </cell>
          <cell r="H84" t="str">
            <v>FDRL0001622</v>
          </cell>
        </row>
        <row r="85">
          <cell r="F85" t="str">
            <v>VISHAL VILAS SABLE</v>
          </cell>
          <cell r="G85" t="str">
            <v>99980125289202</v>
          </cell>
          <cell r="H85" t="str">
            <v>FDRL0001622</v>
          </cell>
        </row>
        <row r="86">
          <cell r="F86" t="str">
            <v>MONIKA GIRDHARBHAI MUNJANI</v>
          </cell>
          <cell r="G86" t="str">
            <v>99980125289418</v>
          </cell>
          <cell r="H86" t="str">
            <v>FDRL0001622</v>
          </cell>
        </row>
        <row r="87">
          <cell r="F87" t="str">
            <v>VIKAS VIDHATA CHAUHAN</v>
          </cell>
          <cell r="G87" t="str">
            <v>99980126335509</v>
          </cell>
          <cell r="H87" t="str">
            <v>FDRL0001622</v>
          </cell>
        </row>
        <row r="88">
          <cell r="F88" t="str">
            <v>PRITI KRIPASHANKAR PANDEY</v>
          </cell>
          <cell r="G88" t="str">
            <v>16220100053277</v>
          </cell>
          <cell r="H88" t="str">
            <v>FDRL0001622</v>
          </cell>
        </row>
        <row r="89">
          <cell r="F89" t="str">
            <v>PURVA PRAMOD NAGVEKAR</v>
          </cell>
          <cell r="G89" t="str">
            <v>99980126332696</v>
          </cell>
          <cell r="H89" t="str">
            <v>FDRL0001622</v>
          </cell>
        </row>
        <row r="90">
          <cell r="F90" t="str">
            <v>KARISHMA SHARAD RANJANE</v>
          </cell>
          <cell r="G90" t="str">
            <v>99980126335541</v>
          </cell>
          <cell r="H90" t="str">
            <v>FDRL0001622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4.708364583334" createdVersion="5" refreshedVersion="5" minRefreshableVersion="3" recordCount="53" xr:uid="{00000000-000A-0000-FFFF-FFFF00000000}">
  <cacheSource type="worksheet">
    <worksheetSource ref="A7:BO65" sheet="Payroll Sheet"/>
  </cacheSource>
  <cacheFields count="67">
    <cacheField name="Sr. No" numFmtId="0">
      <sharedItems containsString="0" containsBlank="1" containsNumber="1" containsInteger="1" minValue="1" maxValue="52"/>
    </cacheField>
    <cacheField name="ID" numFmtId="0">
      <sharedItems containsBlank="1"/>
    </cacheField>
    <cacheField name="Employee Name" numFmtId="0">
      <sharedItems containsBlank="1"/>
    </cacheField>
    <cacheField name="Remark" numFmtId="0">
      <sharedItems containsBlank="1"/>
    </cacheField>
    <cacheField name="Gender" numFmtId="0">
      <sharedItems containsBlank="1"/>
    </cacheField>
    <cacheField name="DOB" numFmtId="0">
      <sharedItems containsDate="1" containsBlank="1" containsMixedTypes="1" minDate="1963-11-24T00:00:00" maxDate="2006-02-07T00:00:00"/>
    </cacheField>
    <cacheField name="Father Name" numFmtId="0">
      <sharedItems containsBlank="1"/>
    </cacheField>
    <cacheField name="Marrital status" numFmtId="0">
      <sharedItems containsBlank="1"/>
    </cacheField>
    <cacheField name="PAN" numFmtId="0">
      <sharedItems containsBlank="1"/>
    </cacheField>
    <cacheField name="Email ID" numFmtId="0">
      <sharedItems containsBlank="1"/>
    </cacheField>
    <cacheField name="Mobile No." numFmtId="0">
      <sharedItems containsBlank="1" containsMixedTypes="1" containsNumber="1" containsInteger="1" minValue="7045248857" maxValue="9987774024"/>
    </cacheField>
    <cacheField name="Aadhar Number" numFmtId="0">
      <sharedItems containsBlank="1" containsMixedTypes="1" containsNumber="1" containsInteger="1" minValue="295120697598" maxValue="957665658267"/>
    </cacheField>
    <cacheField name="Address" numFmtId="0">
      <sharedItems containsBlank="1"/>
    </cacheField>
    <cacheField name="Date of Joining" numFmtId="14">
      <sharedItems containsNonDate="0" containsDate="1" containsString="0" containsBlank="1" minDate="2014-05-03T00:00:00" maxDate="2026-04-22T00:00:00"/>
    </cacheField>
    <cacheField name="Designation" numFmtId="0">
      <sharedItems containsBlank="1"/>
    </cacheField>
    <cacheField name="Department" numFmtId="0">
      <sharedItems containsBlank="1"/>
    </cacheField>
    <cacheField name="Team Name" numFmtId="0">
      <sharedItems containsBlank="1"/>
    </cacheField>
    <cacheField name="Branch Name" numFmtId="0">
      <sharedItems containsBlank="1"/>
    </cacheField>
    <cacheField name="PF Aplicable" numFmtId="0">
      <sharedItems containsBlank="1"/>
    </cacheField>
    <cacheField name="ESIC Aplicable" numFmtId="0">
      <sharedItems containsBlank="1"/>
    </cacheField>
    <cacheField name="Gross Salary" numFmtId="165">
      <sharedItems containsString="0" containsBlank="1" containsNumber="1" containsInteger="1" minValue="10250" maxValue="200000"/>
    </cacheField>
    <cacheField name="Days Worked" numFmtId="0">
      <sharedItems containsString="0" containsBlank="1" containsNumber="1" containsInteger="1" minValue="30" maxValue="30"/>
    </cacheField>
    <cacheField name="Leaves" numFmtId="0">
      <sharedItems containsString="0" containsBlank="1" containsNumber="1" minValue="0" maxValue="30"/>
    </cacheField>
    <cacheField name="Payable Days" numFmtId="0">
      <sharedItems containsString="0" containsBlank="1" containsNumber="1" minValue="0" maxValue="30"/>
    </cacheField>
    <cacheField name="One Day Salary" numFmtId="165">
      <sharedItems containsString="0" containsBlank="1" containsNumber="1" minValue="341.66666666666669" maxValue="6666.666666666667"/>
    </cacheField>
    <cacheField name="Salary for the Month" numFmtId="165">
      <sharedItems containsString="0" containsBlank="1" containsNumber="1" minValue="0" maxValue="200000"/>
    </cacheField>
    <cacheField name="Basic &amp; DA" numFmtId="165">
      <sharedItems containsString="0" containsBlank="1" containsNumber="1" containsInteger="1" minValue="10250" maxValue="200000"/>
    </cacheField>
    <cacheField name="HRA" numFmtId="165">
      <sharedItems containsString="0" containsBlank="1" containsNumber="1" containsInteger="1" minValue="0" maxValue="25000"/>
    </cacheField>
    <cacheField name="Other Allowance" numFmtId="165">
      <sharedItems containsString="0" containsBlank="1" containsNumber="1" containsInteger="1" minValue="0" maxValue="127000"/>
    </cacheField>
    <cacheField name="Total Leaves Gross Earning" numFmtId="165">
      <sharedItems containsString="0" containsBlank="1" containsNumber="1" containsInteger="1" minValue="10250" maxValue="200000"/>
    </cacheField>
    <cacheField name="Basic" numFmtId="165">
      <sharedItems containsString="0" containsBlank="1" containsNumber="1" containsInteger="1" minValue="0" maxValue="200000"/>
    </cacheField>
    <cacheField name="HRA2" numFmtId="165">
      <sharedItems containsString="0" containsBlank="1" containsNumber="1" containsInteger="1" minValue="0" maxValue="25000"/>
    </cacheField>
    <cacheField name="Other Allowance / Incentives" numFmtId="165">
      <sharedItems containsString="0" containsBlank="1" containsNumber="1" containsInteger="1" minValue="0" maxValue="127000"/>
    </cacheField>
    <cacheField name="Overtime" numFmtId="165">
      <sharedItems containsString="0" containsBlank="1" containsNumber="1" containsInteger="1" minValue="0" maxValue="350"/>
    </cacheField>
    <cacheField name="Total Leaves Gross Earning2" numFmtId="165">
      <sharedItems containsString="0" containsBlank="1" containsNumber="1" containsInteger="1" minValue="0" maxValue="200000"/>
    </cacheField>
    <cacheField name="Diff" numFmtId="165">
      <sharedItems containsString="0" containsBlank="1" containsNumber="1" minValue="-1" maxValue="0.33333333333575865"/>
    </cacheField>
    <cacheField name="PF" numFmtId="165">
      <sharedItems containsString="0" containsBlank="1" containsNumber="1" minValue="0" maxValue="1800"/>
    </cacheField>
    <cacheField name="ESIC" numFmtId="165">
      <sharedItems containsString="0" containsBlank="1" containsNumber="1" minValue="0" maxValue="140.1225"/>
    </cacheField>
    <cacheField name="P.TAX" numFmtId="165">
      <sharedItems containsString="0" containsBlank="1" containsNumber="1" containsInteger="1" minValue="0" maxValue="200"/>
    </cacheField>
    <cacheField name="MLWF" numFmtId="165">
      <sharedItems containsString="0" containsBlank="1" containsNumber="1" containsInteger="1" minValue="0" maxValue="0"/>
    </cacheField>
    <cacheField name="TDS" numFmtId="165">
      <sharedItems containsString="0" containsBlank="1" containsNumber="1" minValue="0" maxValue="4000"/>
    </cacheField>
    <cacheField name="Advance Salary" numFmtId="165">
      <sharedItems containsString="0" containsBlank="1" containsNumber="1" containsInteger="1" minValue="0" maxValue="2000"/>
    </cacheField>
    <cacheField name="Net Payable" numFmtId="165">
      <sharedItems containsString="0" containsBlank="1" containsNumber="1" containsInteger="1" minValue="0" maxValue="196000"/>
    </cacheField>
    <cacheField name="Exp" numFmtId="0">
      <sharedItems containsBlank="1" count="3">
        <s v="Salary -FCPL"/>
        <s v="Commission"/>
        <m/>
      </sharedItems>
    </cacheField>
    <cacheField name="Salary Paid Status" numFmtId="0">
      <sharedItems containsBlank="1"/>
    </cacheField>
    <cacheField name="Bank Name" numFmtId="0">
      <sharedItems containsBlank="1"/>
    </cacheField>
    <cacheField name="Bank Account Number" numFmtId="0">
      <sharedItems containsBlank="1"/>
    </cacheField>
    <cacheField name="Bank IFSC" numFmtId="0">
      <sharedItems containsBlank="1"/>
    </cacheField>
    <cacheField name="UTR NUMBER" numFmtId="0">
      <sharedItems containsBlank="1"/>
    </cacheField>
    <cacheField name="PF Wages" numFmtId="0">
      <sharedItems containsString="0" containsBlank="1" containsNumber="1" containsInteger="1" minValue="0" maxValue="15000"/>
    </cacheField>
    <cacheField name="EE share" numFmtId="0">
      <sharedItems containsString="0" containsBlank="1" containsNumber="1" containsInteger="1" minValue="0" maxValue="1800"/>
    </cacheField>
    <cacheField name="ER Share" numFmtId="0">
      <sharedItems containsString="0" containsBlank="1" containsNumber="1" containsInteger="1" minValue="0" maxValue="550"/>
    </cacheField>
    <cacheField name="Pension" numFmtId="0">
      <sharedItems containsString="0" containsBlank="1" containsNumber="1" containsInteger="1" minValue="0" maxValue="1250"/>
    </cacheField>
    <cacheField name="Black1" numFmtId="0">
      <sharedItems containsNonDate="0" containsString="0" containsBlank="1"/>
    </cacheField>
    <cacheField name="ESIC Wages" numFmtId="0">
      <sharedItems containsString="0" containsBlank="1" containsNumber="1" containsInteger="1" minValue="0" maxValue="18683"/>
    </cacheField>
    <cacheField name="EE Share2" numFmtId="0">
      <sharedItems containsString="0" containsBlank="1" containsNumber="1" containsInteger="1" minValue="0" maxValue="141"/>
    </cacheField>
    <cacheField name="ER Share2" numFmtId="0">
      <sharedItems containsString="0" containsBlank="1" containsNumber="1" containsInteger="1" minValue="0" maxValue="607"/>
    </cacheField>
    <cacheField name="Total Leaves" numFmtId="0">
      <sharedItems containsString="0" containsBlank="1" containsNumber="1" containsInteger="1" minValue="0" maxValue="748"/>
    </cacheField>
    <cacheField name="CTC" numFmtId="0">
      <sharedItems containsString="0" containsBlank="1" containsNumber="1" containsInteger="1" minValue="0" maxValue="200000"/>
    </cacheField>
    <cacheField name="UTR Number2" numFmtId="0">
      <sharedItems containsNonDate="0" containsString="0" containsBlank="1"/>
    </cacheField>
    <cacheField name="Salary Increase" numFmtId="0">
      <sharedItems containsNonDate="0" containsString="0" containsBlank="1"/>
    </cacheField>
    <cacheField name="Firm" numFmtId="0">
      <sharedItems containsNonDate="0" containsString="0" containsBlank="1"/>
    </cacheField>
    <cacheField name="Completed months" numFmtId="1">
      <sharedItems containsString="0" containsBlank="1" containsNumber="1" containsInteger="1" minValue="3" maxValue="142"/>
    </cacheField>
    <cacheField name="UAN NUMBER" numFmtId="0">
      <sharedItems containsBlank="1"/>
    </cacheField>
    <cacheField name="Remark2" numFmtId="0">
      <sharedItems containsBlank="1"/>
    </cacheField>
    <cacheField name="FCPL DOJ" numFmtId="0">
      <sharedItems containsDate="1" containsBlank="1" containsMixedTypes="1" minDate="2024-02-01T00:00:00" maxDate="2024-11-09T00:00:00"/>
    </cacheField>
    <cacheField name="PF 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">
  <r>
    <n v="1"/>
    <s v="FIN00023"/>
    <s v="MAHESH BALU MANVE"/>
    <s v="Total 2 Day Leave, 2 Day Leave Waived"/>
    <s v="Male"/>
    <d v="1993-06-10T00:00:00"/>
    <s v="Balu Zilu Manve"/>
    <s v="married"/>
    <s v="AXIPM6485G"/>
    <s v="mahesh.manve15@gmail.com"/>
    <n v="9768616527"/>
    <s v="635270005794"/>
    <s v="JAY GANESH RAHIVASHI SEVA SANGH ROOM NO. 18 S N DUBE ROAD, KOKANI PADA, DAHISAR EAST MUMBAI 400068"/>
    <d v="2019-09-01T00:00:00"/>
    <s v="Accounts Manager"/>
    <s v="Accounts &amp; Admin"/>
    <s v="Accounts &amp; Admin"/>
    <s v="Borivali"/>
    <s v="Yes"/>
    <s v="No"/>
    <n v="70000"/>
    <n v="30"/>
    <n v="0"/>
    <n v="30"/>
    <n v="2333.3333333333335"/>
    <n v="70000"/>
    <n v="15000"/>
    <n v="7500"/>
    <n v="47500"/>
    <n v="70000"/>
    <n v="15000"/>
    <n v="7500"/>
    <n v="47500"/>
    <n v="0"/>
    <n v="70000"/>
    <n v="0"/>
    <n v="1800"/>
    <n v="0"/>
    <n v="200"/>
    <n v="0"/>
    <n v="0"/>
    <m/>
    <n v="68000"/>
    <x v="0"/>
    <s v="Back Office"/>
    <s v="FEDERAL BANK"/>
    <s v="99980125425160"/>
    <s v="FDRL0001622"/>
    <m/>
    <n v="15000"/>
    <n v="1800"/>
    <n v="550"/>
    <n v="1250"/>
    <m/>
    <n v="0"/>
    <n v="0"/>
    <n v="0"/>
    <n v="0"/>
    <n v="71800"/>
    <m/>
    <m/>
    <m/>
    <n v="78"/>
    <s v="101507143887"/>
    <s v="Already PF &amp; ESIC Deducted"/>
    <d v="2024-10-01T00:00:00"/>
    <s v="Already PF Deducted"/>
  </r>
  <r>
    <n v="2"/>
    <s v="FIN00024"/>
    <s v="PARUL BHARATKUMAR SHAH"/>
    <m/>
    <s v="Female"/>
    <d v="1981-06-11T00:00:00"/>
    <s v="BHARATKUMAR SHAH"/>
    <s v="Unmarried"/>
    <s v="CPTPS1237R"/>
    <s v="Parul4024@gmail.com"/>
    <n v="9987774024"/>
    <s v="6180 0232 3063"/>
    <s v="C/204 DEVI ROYAL COMPLEX, BLDG NO.1, V.S.MARG, OPP. MAKWANA COMPLEX, VIRAR EAST, PALGHAR, MAHARASHTAR- 401305"/>
    <d v="2024-05-02T00:00:00"/>
    <s v="Account Executive"/>
    <s v="Accounts &amp; Admin"/>
    <s v="Accounts &amp; Admin"/>
    <s v="Borivali"/>
    <s v="No"/>
    <s v="No"/>
    <n v="15000"/>
    <n v="30"/>
    <n v="0"/>
    <n v="30"/>
    <n v="500"/>
    <n v="15000"/>
    <n v="15000"/>
    <n v="0"/>
    <n v="0"/>
    <n v="15000"/>
    <n v="15000"/>
    <n v="0"/>
    <n v="0"/>
    <m/>
    <n v="15000"/>
    <n v="0"/>
    <n v="0"/>
    <n v="0"/>
    <n v="0"/>
    <n v="0"/>
    <n v="0"/>
    <m/>
    <n v="15000"/>
    <x v="0"/>
    <s v="Back Office"/>
    <s v="FEDERAL BANK"/>
    <s v="99980125289467"/>
    <s v="FDRL0001622"/>
    <m/>
    <n v="0"/>
    <n v="0"/>
    <n v="0"/>
    <n v="0"/>
    <m/>
    <n v="0"/>
    <n v="0"/>
    <n v="0"/>
    <n v="0"/>
    <n v="15000"/>
    <m/>
    <m/>
    <m/>
    <n v="22"/>
    <e v="#N/A"/>
    <m/>
    <d v="2024-10-01T00:00:00"/>
    <s v="Pf Declaration required, ESIC Aplicable"/>
  </r>
  <r>
    <n v="3"/>
    <s v="FIN00025"/>
    <s v="PRIYA JAGDISH JOSHI"/>
    <s v="Total 5.5 Day Leave, 2 Day Leave Waived"/>
    <s v="Female"/>
    <d v="1994-10-04T00:00:00"/>
    <s v="Jagdish Ichhashankar Joshi"/>
    <s v="Unmarried"/>
    <s v="AVJPJ5742N"/>
    <s v="04priyajoshi@gmail.com"/>
    <n v="9930661769"/>
    <n v="813028326819"/>
    <s v="419/19,Shiv Shambhu Society ,Sector-4,Lokmanya Tilak Marg. Near Municipal School, Charkop Kandivali West, Maharashtra 400067."/>
    <d v="2022-04-01T00:00:00"/>
    <s v="Senior Accountant"/>
    <s v="Accounts &amp; Admin"/>
    <s v="Accounts &amp; Admin"/>
    <s v="Borivali"/>
    <s v="No"/>
    <s v="No"/>
    <n v="30000"/>
    <n v="30"/>
    <n v="3.5"/>
    <n v="26.5"/>
    <n v="1000"/>
    <n v="26500"/>
    <n v="20000"/>
    <n v="5000"/>
    <n v="5000"/>
    <n v="30000"/>
    <n v="17667"/>
    <n v="4417"/>
    <n v="4417"/>
    <m/>
    <n v="26501"/>
    <n v="-1"/>
    <n v="0"/>
    <n v="0"/>
    <n v="200"/>
    <n v="0"/>
    <n v="0"/>
    <m/>
    <n v="26301"/>
    <x v="0"/>
    <s v="Back Office"/>
    <s v="FEDERAL BANK"/>
    <s v="99980125421813"/>
    <s v="FDRL0001622"/>
    <m/>
    <n v="0"/>
    <n v="0"/>
    <n v="0"/>
    <n v="0"/>
    <m/>
    <n v="0"/>
    <n v="0"/>
    <n v="0"/>
    <n v="0"/>
    <n v="26501"/>
    <m/>
    <m/>
    <m/>
    <n v="47"/>
    <e v="#N/A"/>
    <m/>
    <d v="2024-04-01T00:00:00"/>
    <s v="Only Pf Declaration required"/>
  </r>
  <r>
    <n v="4"/>
    <s v="FIN00026"/>
    <s v="VRINDA KAMLESH DALVI"/>
    <s v="Total 2.5 Day Leave, 2 Day Leave Waived"/>
    <s v="Female"/>
    <d v="1981-09-19T00:00:00"/>
    <s v="Chandrakant Vithal Jadhav"/>
    <s v="married"/>
    <s v="AOIPD1083N"/>
    <s v="vinayadalvi1511@gmail.com"/>
    <n v="9270527467"/>
    <s v="737754869417"/>
    <s v="B/2 SHIV TAPASYA CO OP HOS SOC EKASR ROAD NEAR ICICI BANK BORIVALI WEST MUMBAI 400092"/>
    <d v="2017-12-04T00:00:00"/>
    <s v="Sr. Accountant"/>
    <s v="Accounts &amp; Admin"/>
    <s v="Accounts &amp; Admin"/>
    <s v="Borivali"/>
    <s v="Yes"/>
    <s v="Yes"/>
    <n v="19000"/>
    <n v="30"/>
    <n v="0.5"/>
    <n v="29.5"/>
    <n v="633.33333333333337"/>
    <n v="18683.333333333336"/>
    <n v="13000"/>
    <n v="3000"/>
    <n v="3000"/>
    <n v="19000"/>
    <n v="12783"/>
    <n v="2950"/>
    <n v="2950"/>
    <m/>
    <n v="18683"/>
    <n v="0.33333333333575865"/>
    <n v="1533.96"/>
    <n v="140.1225"/>
    <n v="0"/>
    <n v="0"/>
    <n v="0"/>
    <m/>
    <n v="17009"/>
    <x v="0"/>
    <s v="Back Office"/>
    <s v="FEDERAL BANK"/>
    <s v="99980125421797"/>
    <s v="FDRL0001622"/>
    <m/>
    <n v="12783"/>
    <n v="1534"/>
    <n v="469"/>
    <n v="1065"/>
    <m/>
    <n v="18683"/>
    <n v="141"/>
    <n v="607"/>
    <n v="748"/>
    <n v="20824"/>
    <m/>
    <m/>
    <m/>
    <n v="99"/>
    <s v="100434680512"/>
    <s v="Already PF &amp; ESIC Deducted"/>
    <d v="2024-10-01T00:00:00"/>
    <s v="Already PF Deducted"/>
  </r>
  <r>
    <n v="5"/>
    <s v="FIN00027"/>
    <s v="DHARA MAHESH MISTRY"/>
    <s v="Total 2.5 Day Leave, 2 Day Leave Waived"/>
    <s v="Female"/>
    <d v="1998-09-30T00:00:00"/>
    <s v="MAHESH MISTRY"/>
    <s v="Unmarried"/>
    <s v="DIQPM6994A"/>
    <s v="dharamistry143@gmail.com"/>
    <s v="9833730708/ 8369745221"/>
    <s v="4962 7707 9108"/>
    <s v="ROOM NO.4, B.S.DUBEY CHAWL, SANT MIRABAI ROAD, NEAR BHARAT DAIRY, GHARTANPADA-2, DAHISAR EAST, MUMBAI, MAHARASHTRA- 400068"/>
    <d v="2023-12-15T00:00:00"/>
    <s v="Back Office Executive"/>
    <s v="Operations"/>
    <s v="Accounts &amp; Operation Team"/>
    <s v="Borivali"/>
    <s v="No"/>
    <s v="No"/>
    <n v="18000"/>
    <n v="30"/>
    <n v="0.5"/>
    <n v="29.5"/>
    <n v="600"/>
    <n v="17700"/>
    <n v="18000"/>
    <n v="0"/>
    <n v="0"/>
    <n v="18000"/>
    <n v="17700"/>
    <n v="0"/>
    <n v="0"/>
    <m/>
    <n v="17700"/>
    <n v="0"/>
    <n v="0"/>
    <n v="0"/>
    <n v="0"/>
    <n v="0"/>
    <n v="0"/>
    <m/>
    <n v="17700"/>
    <x v="0"/>
    <s v="Back Office"/>
    <s v="FEDERAL BANK"/>
    <s v="99980125426259"/>
    <s v="FDRL0001622"/>
    <m/>
    <n v="0"/>
    <n v="0"/>
    <n v="0"/>
    <n v="0"/>
    <m/>
    <n v="0"/>
    <n v="0"/>
    <n v="0"/>
    <n v="0"/>
    <n v="17700"/>
    <m/>
    <m/>
    <m/>
    <n v="27"/>
    <e v="#N/A"/>
    <m/>
    <d v="2024-10-01T00:00:00"/>
    <s v="Below 14k"/>
  </r>
  <r>
    <n v="6"/>
    <s v="FIN00028"/>
    <s v="SUPRIYA SAGAR SALVI "/>
    <s v="Total 4 Day Leave, 2 Day Leave Waived"/>
    <s v="Female"/>
    <d v="1995-12-26T00:00:00"/>
    <s v="Santosh Ramchandra Dalvi"/>
    <s v="married"/>
    <s v="BYOPD5329L"/>
    <s v="dalvi.supriya22@gmail.com"/>
    <n v="8779433745"/>
    <s v="897562338207"/>
    <s v=" DURGA DHAM RAHIWASHI MANDAL CHAWL  SHIMPOLI  ROAD NEAR TELEPHONE  EXCHANGE SHIVAJI NAGER  BORIVALI WEST -400092"/>
    <d v="2022-02-01T00:00:00"/>
    <s v="Operation Manager "/>
    <s v="Back Office"/>
    <s v="Accounts &amp; Operation Team"/>
    <s v="Thane"/>
    <s v="Yes"/>
    <s v="No"/>
    <n v="54000"/>
    <n v="30"/>
    <n v="2"/>
    <n v="28"/>
    <n v="1800"/>
    <n v="50400"/>
    <n v="15000"/>
    <n v="7500"/>
    <n v="31500"/>
    <n v="54000"/>
    <n v="14000"/>
    <n v="7000"/>
    <n v="29400"/>
    <m/>
    <n v="50400"/>
    <n v="0"/>
    <n v="1680"/>
    <n v="0"/>
    <n v="200"/>
    <n v="0"/>
    <n v="0"/>
    <m/>
    <n v="48520"/>
    <x v="0"/>
    <s v="Back Office"/>
    <s v="FEDERAL BANK"/>
    <s v="99980126335434"/>
    <s v="FDRL0001622"/>
    <m/>
    <n v="14000"/>
    <n v="1680"/>
    <n v="514"/>
    <n v="1166"/>
    <m/>
    <n v="0"/>
    <n v="0"/>
    <n v="0"/>
    <n v="0"/>
    <n v="52080"/>
    <m/>
    <m/>
    <m/>
    <n v="49"/>
    <s v="100973778542"/>
    <s v="Having PF Number Sales Team"/>
    <s v="FCLLP"/>
    <s v="PF Applicable Only"/>
  </r>
  <r>
    <n v="7"/>
    <s v="FIN00029"/>
    <s v="NIDHI RAJENDRA SHAH"/>
    <s v="Total 2 Day Leave, 2 Day Leave Waived"/>
    <s v="Female"/>
    <d v="1999-09-17T00:00:00"/>
    <s v="Rajendra Kumar Babulal Shah"/>
    <s v="Unmarried"/>
    <s v="ECRPS4449N"/>
    <s v="shahnidhi676@gmail.com"/>
    <n v="9869729437"/>
    <n v="814968987271"/>
    <s v="Mulji Apt. above bank of baroda, S.V Road daulat nagar borivali (E)"/>
    <d v="2022-04-21T00:00:00"/>
    <s v="Mis Executive"/>
    <s v="Operations"/>
    <s v="Accounts &amp; Operation Team"/>
    <s v="Borivali"/>
    <s v="No"/>
    <s v="No"/>
    <n v="20000"/>
    <n v="30"/>
    <n v="0"/>
    <n v="30"/>
    <n v="666.66666666666663"/>
    <n v="20000"/>
    <n v="16000"/>
    <n v="0"/>
    <n v="4000"/>
    <n v="20000"/>
    <n v="16000"/>
    <n v="0"/>
    <n v="4000"/>
    <m/>
    <n v="20000"/>
    <n v="0"/>
    <n v="0"/>
    <n v="0"/>
    <n v="0"/>
    <n v="0"/>
    <n v="0"/>
    <m/>
    <n v="20000"/>
    <x v="0"/>
    <s v="Back Office"/>
    <s v="FEDERAL BANK"/>
    <s v="99980125424940"/>
    <s v="FDRL0001622"/>
    <m/>
    <n v="0"/>
    <n v="0"/>
    <n v="0"/>
    <n v="0"/>
    <m/>
    <n v="0"/>
    <n v="0"/>
    <n v="0"/>
    <n v="0"/>
    <n v="20000"/>
    <m/>
    <m/>
    <m/>
    <n v="47"/>
    <e v="#N/A"/>
    <m/>
    <d v="2024-10-01T00:00:00"/>
    <s v="Pf Declaration required, ESIC Aplicable"/>
  </r>
  <r>
    <n v="8"/>
    <s v="FIN00030"/>
    <s v="HITESH MAKWANA"/>
    <m/>
    <s v="Male"/>
    <d v="1972-10-29T00:00:00"/>
    <s v="NANJIBHAI MAKWANA"/>
    <s v="married"/>
    <s v="CXYPM7136G"/>
    <s v="NA"/>
    <n v="9619102717"/>
    <n v="704969325031"/>
    <s v="POONAM SAGAR COMPLEX C/53  SHANTI NAGER SECTOR -9 MIRA BHAYANDER  THANE -401107"/>
    <d v="2021-09-08T00:00:00"/>
    <s v="SUPPORT EXECUTIVE"/>
    <s v="Accounts &amp; Admin"/>
    <s v="Admin"/>
    <s v="Borivali"/>
    <s v="No"/>
    <s v="No"/>
    <n v="11000"/>
    <n v="30"/>
    <n v="0"/>
    <n v="30"/>
    <n v="366.66666666666669"/>
    <n v="11000"/>
    <n v="11000"/>
    <n v="0"/>
    <n v="0"/>
    <n v="11000"/>
    <n v="11000"/>
    <n v="0"/>
    <n v="0"/>
    <m/>
    <n v="11000"/>
    <n v="0"/>
    <n v="0"/>
    <n v="0"/>
    <n v="200"/>
    <n v="0"/>
    <n v="0"/>
    <n v="1000"/>
    <n v="9800"/>
    <x v="0"/>
    <s v="Back Office"/>
    <s v="IDBI BANK"/>
    <s v="50110747320"/>
    <s v="IDIB000M706"/>
    <m/>
    <n v="0"/>
    <n v="0"/>
    <n v="0"/>
    <n v="0"/>
    <m/>
    <n v="0"/>
    <n v="0"/>
    <n v="0"/>
    <n v="0"/>
    <n v="11000"/>
    <m/>
    <m/>
    <m/>
    <n v="54"/>
    <e v="#N/A"/>
    <m/>
    <d v="2024-10-01T00:00:00"/>
    <s v="Below 14k"/>
  </r>
  <r>
    <n v="9"/>
    <s v="FIN00031"/>
    <s v="ISHPREET CHATWAL KAUR"/>
    <s v="Amarjeet Kaur"/>
    <s v="Female"/>
    <d v="2006-02-06T00:00:00"/>
    <s v="SUKHJIT SINGH CHATWAL"/>
    <s v="Unmarried"/>
    <s v="DENPC8360D"/>
    <s v="kauramarjeet2017@gmail.com"/>
    <s v="96191 06051 / 9324380086"/>
    <s v="9201 8770 1976"/>
    <s v="Citilight CHS, RH-4, PLOT NO. 25, SECTOR -1, NAVI MUMBAI, THANE 400709."/>
    <d v="2024-10-01T00:00:00"/>
    <s v="Sales Executive"/>
    <s v="Sales"/>
    <s v="Amarjeet Kaur"/>
    <s v="Borivali"/>
    <s v="No"/>
    <s v="No"/>
    <n v="31000"/>
    <n v="30"/>
    <n v="0"/>
    <n v="30"/>
    <n v="1033.3333333333333"/>
    <n v="30999.999999999996"/>
    <n v="20000"/>
    <n v="5000"/>
    <n v="6000"/>
    <n v="31000"/>
    <n v="20000"/>
    <n v="5000"/>
    <n v="6000"/>
    <m/>
    <n v="31000"/>
    <n v="-3.637978807091713E-12"/>
    <n v="0"/>
    <n v="0"/>
    <n v="200"/>
    <n v="0"/>
    <n v="0"/>
    <m/>
    <n v="30800"/>
    <x v="0"/>
    <s v="Sales"/>
    <s v="FEDERAL BANK"/>
    <s v="99980125289525"/>
    <s v="FDRL0001622"/>
    <m/>
    <n v="0"/>
    <n v="0"/>
    <n v="0"/>
    <n v="0"/>
    <m/>
    <n v="0"/>
    <n v="0"/>
    <n v="0"/>
    <n v="0"/>
    <n v="31000"/>
    <m/>
    <m/>
    <m/>
    <n v="17"/>
    <s v="NO"/>
    <s v="NO"/>
    <d v="2024-10-01T00:00:00"/>
    <s v="Only Pf Declaration required"/>
  </r>
  <r>
    <n v="10"/>
    <s v="FIN00032"/>
    <s v="MANSI VIPUL GOHIL"/>
    <s v="Recharge Added, Salary is 15k"/>
    <s v="Female"/>
    <d v="2002-01-02T00:00:00"/>
    <s v="VIPUL GOHIL"/>
    <s v="Unmarried"/>
    <s v="DOQPG4446M"/>
    <s v="mansigohil2002@gmail.com"/>
    <n v="8317210394"/>
    <s v="7200 4160 6956"/>
    <s v="A-404, Gandhar Bldg., Viva Swarganga Complex, Bolinj, Virar West, Palghar 401303"/>
    <d v="2022-06-27T00:00:00"/>
    <s v="Tele Sales Executive "/>
    <s v="Sales"/>
    <s v="Amarjeet Kaur"/>
    <s v="Borivali"/>
    <s v="No"/>
    <s v="No"/>
    <n v="10250"/>
    <n v="30"/>
    <n v="30"/>
    <n v="0"/>
    <n v="341.66666666666669"/>
    <n v="0"/>
    <n v="10250"/>
    <n v="0"/>
    <n v="0"/>
    <n v="10250"/>
    <n v="0"/>
    <n v="0"/>
    <n v="0"/>
    <m/>
    <n v="0"/>
    <n v="0"/>
    <n v="0"/>
    <n v="0"/>
    <n v="0"/>
    <n v="0"/>
    <n v="0"/>
    <m/>
    <n v="0"/>
    <x v="1"/>
    <s v="Sales"/>
    <s v="FEDERAL BANK"/>
    <s v="99980126335061"/>
    <s v="FDRL0001622"/>
    <m/>
    <n v="0"/>
    <n v="0"/>
    <n v="0"/>
    <n v="0"/>
    <m/>
    <n v="0"/>
    <n v="0"/>
    <n v="0"/>
    <n v="0"/>
    <n v="0"/>
    <m/>
    <m/>
    <m/>
    <n v="45"/>
    <e v="#N/A"/>
    <m/>
    <e v="#N/A"/>
    <s v="Below 14k"/>
  </r>
  <r>
    <n v="11"/>
    <s v="FIN00033"/>
    <s v="VISHAL VILAS SABLE"/>
    <m/>
    <s v="Male"/>
    <d v="1997-09-25T00:00:00"/>
    <s v="Vilas Vitthal Sable"/>
    <s v="Unmarried"/>
    <s v="GSZPS0468F"/>
    <s v="sablevishal10@gmail.com"/>
    <n v="8976711149"/>
    <s v="2906 4086 7887"/>
    <s v="TAI NIWAS  A WING  ROOM NO 15  NANDIVALI  GAON  MOHACHI WADI  AT NANDIVALI  PANCHANAND  DOMBIVALI EAST- 421204"/>
    <d v="2021-12-01T00:00:00"/>
    <s v="Tele Sales Executive "/>
    <s v="Sales"/>
    <s v="Anita Thakkar"/>
    <s v="Thane"/>
    <s v="No"/>
    <s v="No"/>
    <n v="35000"/>
    <n v="30"/>
    <n v="0"/>
    <n v="30"/>
    <n v="1166.6666666666667"/>
    <n v="35000"/>
    <n v="20000"/>
    <n v="2000"/>
    <n v="13000"/>
    <n v="35000"/>
    <n v="20000"/>
    <n v="2000"/>
    <n v="13000"/>
    <m/>
    <n v="35000"/>
    <n v="0"/>
    <n v="0"/>
    <n v="0"/>
    <n v="200"/>
    <n v="0"/>
    <n v="0"/>
    <m/>
    <n v="34800"/>
    <x v="0"/>
    <s v="Sales"/>
    <s v="FEDERAL BANK"/>
    <s v="99980125289202"/>
    <s v="FDRL0001622"/>
    <m/>
    <n v="0"/>
    <n v="0"/>
    <n v="0"/>
    <n v="0"/>
    <m/>
    <n v="0"/>
    <n v="0"/>
    <n v="0"/>
    <n v="0"/>
    <n v="35000"/>
    <m/>
    <m/>
    <m/>
    <n v="51"/>
    <s v="101291427258"/>
    <s v="need to be check"/>
    <d v="2024-10-01T00:00:00"/>
    <s v="need to be check"/>
  </r>
  <r>
    <n v="12"/>
    <s v="FIN00034"/>
    <s v="ANITA THAKKAR"/>
    <m/>
    <s v="Female"/>
    <d v="1983-10-21T00:00:00"/>
    <s v="VASANT B PATIL"/>
    <s v="married"/>
    <s v="AQJPP8108P"/>
    <s v="anitaa.thakkar@gmail.com"/>
    <n v="9619361626"/>
    <s v="'230031473663"/>
    <s v="1508/7 HIGHLAND PARK KOLSHT ROAD NEAR D MART DHOKALI  THANE WEST  SANDOZBAUGH THANE-400607"/>
    <d v="2021-07-01T00:00:00"/>
    <s v="Unit Manager"/>
    <s v="Sales"/>
    <s v="Anita Thakkar"/>
    <s v="Thane"/>
    <s v="No"/>
    <s v="No"/>
    <n v="150000"/>
    <n v="30"/>
    <n v="0"/>
    <n v="30"/>
    <n v="5000"/>
    <n v="150000"/>
    <n v="50000"/>
    <n v="25000"/>
    <n v="75000"/>
    <n v="150000"/>
    <n v="50000"/>
    <n v="25000"/>
    <n v="75000"/>
    <m/>
    <n v="150000"/>
    <n v="0"/>
    <n v="0"/>
    <n v="0"/>
    <n v="0"/>
    <n v="0"/>
    <n v="3000"/>
    <m/>
    <n v="147000"/>
    <x v="1"/>
    <s v="Sales"/>
    <s v="Saraswat Bank"/>
    <s v="378209100000597"/>
    <s v="SRCB0000378"/>
    <m/>
    <n v="0"/>
    <n v="0"/>
    <n v="0"/>
    <n v="0"/>
    <m/>
    <n v="0"/>
    <n v="0"/>
    <n v="0"/>
    <n v="0"/>
    <n v="150000"/>
    <m/>
    <m/>
    <m/>
    <n v="56"/>
    <e v="#N/A"/>
    <m/>
    <d v="2024-02-01T00:00:00"/>
    <s v="Only Pf Declaration required"/>
  </r>
  <r>
    <n v="13"/>
    <s v="FIN00035"/>
    <s v="JAYSHREE RAMESH PAJAWE"/>
    <m/>
    <s v="Female"/>
    <d v="1996-07-03T00:00:00"/>
    <s v="Ramesh Daji Pajawe"/>
    <s v="Unmarried"/>
    <s v="DOJPP4887J"/>
    <s v="Jayshreepajawe1996@gmail.com"/>
    <n v="8237432558"/>
    <s v="615995249844"/>
    <s v="PLOT NO-199, C-17 , GORAI(2), BORIVALI (W)"/>
    <d v="2017-07-19T00:00:00"/>
    <s v="Tele Sales Executive "/>
    <s v="Sales"/>
    <s v="Dhawal Upadhyay"/>
    <s v="Borivali"/>
    <s v="No"/>
    <s v="No"/>
    <n v="28000"/>
    <n v="30"/>
    <n v="0"/>
    <n v="30"/>
    <n v="933.33333333333337"/>
    <n v="28000"/>
    <n v="20000"/>
    <n v="0"/>
    <n v="8000"/>
    <n v="28000"/>
    <n v="20000"/>
    <n v="0"/>
    <n v="8000"/>
    <m/>
    <n v="28000"/>
    <n v="0"/>
    <n v="0"/>
    <n v="0"/>
    <n v="200"/>
    <n v="0"/>
    <n v="0"/>
    <m/>
    <n v="27800"/>
    <x v="0"/>
    <s v="Sales"/>
    <s v="FEDERAL BANK"/>
    <s v="99980126335046"/>
    <s v="FDRL0001622"/>
    <m/>
    <n v="0"/>
    <n v="0"/>
    <n v="0"/>
    <n v="0"/>
    <m/>
    <n v="0"/>
    <n v="0"/>
    <n v="0"/>
    <n v="0"/>
    <n v="28000"/>
    <m/>
    <m/>
    <m/>
    <n v="104"/>
    <e v="#N/A"/>
    <m/>
    <d v="2024-10-01T00:00:00"/>
    <s v="Only Pf Declaration required"/>
  </r>
  <r>
    <n v="14"/>
    <s v="FIN00037"/>
    <s v="SOWMYA JANAK GORADIA"/>
    <m/>
    <s v="Male"/>
    <d v="2000-01-10T00:00:00"/>
    <s v="Janak Kumudchandra Goradia"/>
    <s v="Unmarried"/>
    <s v="CMKPG8926M"/>
    <s v="sowmyagoradia@gmail.com"/>
    <n v="8691889706"/>
    <s v="7178 9915 2231"/>
    <s v="J/001 GEETA PALACE MIRA BHAYANDER ROAD NEAR SONALI HOTEL MIRA ROAD  THANE-401107"/>
    <d v="2023-03-08T00:00:00"/>
    <s v="Sales Manager"/>
    <s v="Sales"/>
    <s v="Mahendra Maske"/>
    <s v="Borivali"/>
    <s v="No"/>
    <s v="No"/>
    <n v="25000"/>
    <n v="30"/>
    <n v="0"/>
    <n v="30"/>
    <n v="833.33333333333337"/>
    <n v="25000"/>
    <n v="16000"/>
    <n v="0"/>
    <n v="9000"/>
    <n v="25000"/>
    <n v="16000"/>
    <n v="0"/>
    <n v="9000"/>
    <m/>
    <n v="25000"/>
    <n v="0"/>
    <n v="0"/>
    <n v="0"/>
    <m/>
    <n v="0"/>
    <n v="500"/>
    <m/>
    <n v="24500"/>
    <x v="1"/>
    <s v="Sales"/>
    <s v="FEDERAL BANK"/>
    <s v="99980126334940"/>
    <s v="FDRL0001622"/>
    <m/>
    <n v="0"/>
    <n v="0"/>
    <n v="0"/>
    <n v="0"/>
    <m/>
    <n v="0"/>
    <n v="0"/>
    <n v="0"/>
    <n v="0"/>
    <n v="25000"/>
    <m/>
    <m/>
    <m/>
    <n v="36"/>
    <s v="101708746818"/>
    <s v="Having PF Number Sales Team"/>
    <d v="2024-10-01T00:00:00"/>
    <s v="PF Applicable Only"/>
  </r>
  <r>
    <n v="15"/>
    <s v="FCLLP0085"/>
    <s v="MAHENDRA BHARAT MHASKE"/>
    <m/>
    <s v="Male"/>
    <m/>
    <m/>
    <m/>
    <s v="AQNPM9248F"/>
    <s v="mahendra.m@fineoteric.com"/>
    <n v="9699799908"/>
    <m/>
    <m/>
    <d v="2023-07-01T00:00:00"/>
    <s v="Sales Manager"/>
    <s v="Sales"/>
    <s v="Mahendra Maske"/>
    <s v="Borivali"/>
    <s v="No"/>
    <s v="No"/>
    <n v="200000"/>
    <n v="30"/>
    <n v="0"/>
    <n v="30"/>
    <n v="6666.666666666667"/>
    <n v="200000"/>
    <n v="200000"/>
    <n v="0"/>
    <n v="0"/>
    <n v="200000"/>
    <n v="200000"/>
    <n v="0"/>
    <n v="0"/>
    <m/>
    <n v="200000"/>
    <n v="0"/>
    <n v="0"/>
    <n v="0"/>
    <m/>
    <n v="0"/>
    <n v="4000"/>
    <m/>
    <n v="196000"/>
    <x v="1"/>
    <s v="Sales"/>
    <s v="HDFC BANK"/>
    <s v="50100185211575"/>
    <s v="HDFC0000665"/>
    <m/>
    <m/>
    <m/>
    <m/>
    <m/>
    <m/>
    <m/>
    <m/>
    <m/>
    <m/>
    <n v="200000"/>
    <m/>
    <m/>
    <m/>
    <m/>
    <m/>
    <m/>
    <e v="#N/A"/>
    <s v="Commission"/>
  </r>
  <r>
    <n v="16"/>
    <s v="FIN00038"/>
    <s v="Gaurav A Singh"/>
    <m/>
    <s v="Male"/>
    <d v="1992-09-04T00:00:00"/>
    <s v="Arvind Kumar Singh"/>
    <s v="married"/>
    <s v="EIFPS6404H"/>
    <s v="SINGHGAURAV251@GMAIL.COM"/>
    <n v="8976784299"/>
    <s v="6670-6314-3271"/>
    <s v="I-202, Geeta Nagar, Phase-6, Opp Kanungo Estate, Mira-Bhayander, Thane, Maharashtra, 401107."/>
    <d v="2022-12-06T00:00:00"/>
    <s v="Sales Executive"/>
    <s v="Sales"/>
    <s v="Mahendra Maske"/>
    <s v="Borivali"/>
    <s v="No"/>
    <s v="No"/>
    <n v="40000"/>
    <n v="30"/>
    <n v="15"/>
    <n v="15"/>
    <n v="1333.3333333333333"/>
    <n v="20000"/>
    <n v="15000"/>
    <n v="7500"/>
    <n v="17500"/>
    <n v="40000"/>
    <n v="7500"/>
    <n v="3750"/>
    <n v="8750"/>
    <m/>
    <n v="20000"/>
    <n v="0"/>
    <n v="0"/>
    <n v="0"/>
    <n v="0"/>
    <n v="0"/>
    <n v="400"/>
    <m/>
    <n v="19600"/>
    <x v="1"/>
    <s v="Sales"/>
    <s v="STATE BANK OF INDIA"/>
    <s v="32649894050"/>
    <s v="SBIN0061691"/>
    <m/>
    <n v="0"/>
    <n v="0"/>
    <n v="0"/>
    <n v="0"/>
    <m/>
    <n v="0"/>
    <n v="0"/>
    <n v="0"/>
    <n v="0"/>
    <n v="20000"/>
    <m/>
    <m/>
    <m/>
    <n v="39"/>
    <s v="100151737269"/>
    <s v="Having PF Number Sales Team"/>
    <m/>
    <m/>
  </r>
  <r>
    <n v="17"/>
    <s v="FIN00039"/>
    <s v="PARIN RAJARAM PARIKH"/>
    <m/>
    <s v="Male"/>
    <d v="1979-07-30T00:00:00"/>
    <s v="Rajanbhai Parikh"/>
    <s v="married"/>
    <s v="ALKPP2383E"/>
    <s v="parin.p@fineoteric.com"/>
    <n v="9920629129"/>
    <s v="207226315078"/>
    <s v=" rajanbhai parikh a/ 301  blue  tulip blue  empire complex mahavir nager ekta nager kandivali  west mumbai - 400067"/>
    <d v="2018-07-01T00:00:00"/>
    <s v="Unit Manager"/>
    <s v="Sales"/>
    <s v="Parin Parikh"/>
    <s v="Borivali"/>
    <s v="No"/>
    <s v="No"/>
    <n v="75000"/>
    <n v="30"/>
    <n v="0"/>
    <n v="30"/>
    <n v="2500"/>
    <n v="75000"/>
    <n v="30000"/>
    <n v="15000"/>
    <n v="30000"/>
    <n v="75000"/>
    <n v="30000"/>
    <n v="15000"/>
    <n v="30000"/>
    <m/>
    <n v="75000"/>
    <n v="0"/>
    <n v="0"/>
    <n v="0"/>
    <n v="200"/>
    <n v="0"/>
    <n v="0"/>
    <m/>
    <n v="74800"/>
    <x v="0"/>
    <s v="Sales"/>
    <s v="HDFC BANK"/>
    <s v="02991000027319"/>
    <s v="HDFC0000299"/>
    <m/>
    <n v="0"/>
    <n v="0"/>
    <n v="0"/>
    <n v="0"/>
    <m/>
    <n v="0"/>
    <n v="0"/>
    <n v="0"/>
    <n v="0"/>
    <n v="75000"/>
    <m/>
    <m/>
    <m/>
    <n v="92"/>
    <e v="#N/A"/>
    <m/>
    <d v="2024-02-01T00:00:00"/>
    <s v="Only Pf Declaration required"/>
  </r>
  <r>
    <n v="18"/>
    <s v="FIN00040"/>
    <s v="ARYAN BELOSE"/>
    <m/>
    <s v="Male"/>
    <d v="2004-10-21T00:00:00"/>
    <s v="CHINTAMANI BELOSE"/>
    <s v="Unmarried"/>
    <s v="GTLPB0602M"/>
    <s v="aryan.belose854@gmail.com"/>
    <n v="9920173429"/>
    <s v="4179 0172 8394"/>
    <s v="Janu bhoir chawl No.4, Room no. 2, Vasundri road near babaji colony, Manda titawala, Thane, 421605."/>
    <d v="2024-10-16T00:00:00"/>
    <m/>
    <s v="Sales"/>
    <s v="Rahul Bhavsar"/>
    <s v="Thane"/>
    <s v="No"/>
    <s v="No"/>
    <n v="15000"/>
    <n v="30"/>
    <n v="1"/>
    <n v="29"/>
    <n v="500"/>
    <n v="14500"/>
    <n v="15000"/>
    <n v="0"/>
    <n v="0"/>
    <n v="15000"/>
    <n v="14500"/>
    <n v="0"/>
    <n v="0"/>
    <m/>
    <n v="14500"/>
    <n v="0"/>
    <n v="0"/>
    <n v="0"/>
    <n v="200"/>
    <n v="0"/>
    <n v="0"/>
    <m/>
    <n v="14300"/>
    <x v="0"/>
    <s v="Sales"/>
    <s v="SBI BANK"/>
    <s v="41528419563"/>
    <s v="SBIN0020865"/>
    <m/>
    <n v="0"/>
    <n v="0"/>
    <n v="0"/>
    <n v="0"/>
    <m/>
    <n v="0"/>
    <n v="0"/>
    <n v="0"/>
    <n v="0"/>
    <n v="14500"/>
    <m/>
    <m/>
    <m/>
    <n v="17"/>
    <s v="NO"/>
    <m/>
    <d v="2024-10-01T00:00:00"/>
    <s v="Below 14k"/>
  </r>
  <r>
    <n v="19"/>
    <s v="FIN00041"/>
    <s v="OMKAR VISHNU KAMATHE"/>
    <s v="Salary Increased from 16k to 17k Apr-26"/>
    <s v="Male"/>
    <d v="2001-10-01T00:00:00"/>
    <s v="VISHANU KAMATHE"/>
    <m/>
    <s v="KHPPK8768B"/>
    <s v="omkarkamthe453@gmail.com"/>
    <n v="9987346013"/>
    <s v="8994 5886 2221"/>
    <s v="645, GANESH CHAWL NO.1, RAMNAGAR, SIDDHIVINAYAK MITRA MANDAL, DIGHA, THANE, MAHARASHTRA- 400708"/>
    <d v="2024-01-24T00:00:00"/>
    <s v="Back Office Executive"/>
    <s v="Sales"/>
    <s v="Rahul Bhavsar"/>
    <s v="Thane"/>
    <s v="No"/>
    <s v="No"/>
    <n v="17000"/>
    <n v="30"/>
    <n v="2"/>
    <n v="28"/>
    <n v="566.66666666666663"/>
    <n v="15866.666666666666"/>
    <n v="17000"/>
    <n v="0"/>
    <n v="0"/>
    <n v="17000"/>
    <n v="15867"/>
    <n v="0"/>
    <n v="0"/>
    <m/>
    <n v="15867"/>
    <n v="-0.33333333333393966"/>
    <n v="0"/>
    <n v="0"/>
    <n v="200"/>
    <n v="0"/>
    <n v="0"/>
    <m/>
    <n v="15667"/>
    <x v="0"/>
    <s v="Sales"/>
    <s v="FEDERAL BANK"/>
    <s v="99980125289210"/>
    <s v="FDRL0001622"/>
    <m/>
    <n v="0"/>
    <n v="0"/>
    <n v="0"/>
    <n v="0"/>
    <m/>
    <n v="0"/>
    <n v="0"/>
    <n v="0"/>
    <n v="0"/>
    <n v="15867"/>
    <m/>
    <m/>
    <m/>
    <n v="26"/>
    <s v="NO"/>
    <m/>
    <d v="2024-10-01T00:00:00"/>
    <s v="Below 14k"/>
  </r>
  <r>
    <n v="20"/>
    <s v="FIN00042"/>
    <s v="PRITI KRIPASHANKAR PANDEY"/>
    <m/>
    <s v="Female"/>
    <d v="1990-12-20T00:00:00"/>
    <s v="KRIPASHANKAR PANDEY"/>
    <s v="married"/>
    <s v="BQMPP8239H"/>
    <s v="priti.pandey@gmail.com"/>
    <n v="7045248857"/>
    <s v="664516085290"/>
    <s v="ROOM NO 3 NR VISHVKARMA CHAWL GANDHI NAGER  CUTTING NO 10 , KURAR VILLAGE MALAD EAST MUMBAI- 400097"/>
    <d v="2019-04-18T00:00:00"/>
    <s v="Back Office Executive"/>
    <s v="Sales"/>
    <s v="Rahul Bhavsar"/>
    <s v="Thane"/>
    <s v="No"/>
    <s v="No"/>
    <n v="35000"/>
    <n v="30"/>
    <n v="0"/>
    <n v="30"/>
    <n v="1166.6666666666667"/>
    <n v="35000"/>
    <n v="20000"/>
    <n v="5000"/>
    <n v="10000"/>
    <n v="35000"/>
    <n v="20000"/>
    <n v="5000"/>
    <n v="10000"/>
    <n v="0"/>
    <n v="35000"/>
    <n v="0"/>
    <n v="0"/>
    <n v="0"/>
    <n v="200"/>
    <n v="0"/>
    <n v="0"/>
    <m/>
    <n v="34800"/>
    <x v="0"/>
    <s v="Sales"/>
    <s v="YES BANK"/>
    <s v="021691800011401"/>
    <s v="YESB0000216"/>
    <m/>
    <n v="0"/>
    <n v="0"/>
    <n v="0"/>
    <n v="0"/>
    <m/>
    <n v="0"/>
    <n v="0"/>
    <n v="0"/>
    <n v="0"/>
    <n v="35000"/>
    <m/>
    <m/>
    <m/>
    <n v="83"/>
    <s v="NO"/>
    <m/>
    <d v="2024-04-01T00:00:00"/>
    <s v="Only Pf Declaration required"/>
  </r>
  <r>
    <n v="21"/>
    <s v="FIN00043"/>
    <s v="RAHUL BHAVSAR"/>
    <m/>
    <s v="Male"/>
    <d v="1985-12-11T00:00:00"/>
    <s v="Vaman Sukhdeo Bhavsar"/>
    <s v="married"/>
    <s v="APGPB9171C"/>
    <s v="rahul.b@fineoteric.com"/>
    <n v="9423422864"/>
    <s v="715889063078"/>
    <s v="PANCHAYAT HALL SECTION 2, MATA JAGAN MA MARG, ULLASNAGAR 4 ,THANE  - MAHARASHTRA - 421004"/>
    <d v="2019-04-15T00:00:00"/>
    <s v="Unit Manager"/>
    <s v="Sales"/>
    <s v="Rahul Bhavsar"/>
    <s v="Thane"/>
    <s v="No"/>
    <s v="No"/>
    <n v="172000"/>
    <n v="30"/>
    <n v="0"/>
    <n v="30"/>
    <n v="5733.333333333333"/>
    <n v="172000"/>
    <n v="30000"/>
    <n v="15000"/>
    <n v="127000"/>
    <n v="172000"/>
    <n v="30000"/>
    <n v="15000"/>
    <n v="127000"/>
    <m/>
    <n v="172000"/>
    <n v="0"/>
    <n v="0"/>
    <n v="0"/>
    <m/>
    <n v="0"/>
    <n v="3440"/>
    <m/>
    <n v="168560"/>
    <x v="1"/>
    <s v="Sales"/>
    <s v="KOTAK BANK"/>
    <s v="8211703161"/>
    <s v="KKBK0000651"/>
    <m/>
    <n v="0"/>
    <n v="0"/>
    <n v="0"/>
    <n v="0"/>
    <m/>
    <n v="0"/>
    <n v="0"/>
    <n v="0"/>
    <n v="0"/>
    <n v="172000"/>
    <m/>
    <m/>
    <m/>
    <n v="83"/>
    <s v="100941865956"/>
    <m/>
    <d v="2024-02-01T00:00:00"/>
    <s v="PF Applicable Only"/>
  </r>
  <r>
    <n v="22"/>
    <s v="FIN00044"/>
    <s v="PINTOO YADAV"/>
    <s v="Hold"/>
    <s v="Male"/>
    <d v="1989-10-03T00:00:00"/>
    <s v="Kamal Shankar Yadav"/>
    <s v="married"/>
    <s v="ALLPY1566B"/>
    <s v="etfs2008@gmail.com"/>
    <n v="9137683671"/>
    <s v="'434304851751"/>
    <s v=" B-9  NEW MARUTI  CHAWL  NO 6 MAHATMA GANDHI  RD  KANDIVALI (WEST)"/>
    <d v="2017-09-01T00:00:00"/>
    <s v="Driver"/>
    <s v="Accounts &amp; Admin"/>
    <s v="Sarvang Sir"/>
    <s v="Borivali"/>
    <s v="No"/>
    <s v="No"/>
    <n v="25000"/>
    <n v="30"/>
    <n v="30"/>
    <n v="0"/>
    <n v="833.33333333333337"/>
    <n v="0"/>
    <n v="20000"/>
    <n v="1000"/>
    <n v="4000"/>
    <n v="25000"/>
    <n v="0"/>
    <n v="0"/>
    <n v="0"/>
    <m/>
    <n v="0"/>
    <n v="0"/>
    <n v="0"/>
    <n v="0"/>
    <n v="0"/>
    <n v="0"/>
    <n v="0"/>
    <n v="0"/>
    <n v="0"/>
    <x v="0"/>
    <s v="Back Office"/>
    <s v="UNION BANK"/>
    <s v="582902010008932"/>
    <s v="UBIN0558290"/>
    <m/>
    <n v="0"/>
    <n v="0"/>
    <n v="0"/>
    <n v="0"/>
    <m/>
    <n v="0"/>
    <n v="0"/>
    <n v="0"/>
    <n v="0"/>
    <n v="0"/>
    <m/>
    <m/>
    <m/>
    <n v="102"/>
    <e v="#N/A"/>
    <m/>
    <d v="2024-10-01T00:00:00"/>
    <s v="Only Pf Declaration required"/>
  </r>
  <r>
    <n v="23"/>
    <s v="FIN00045"/>
    <s v="BRIJESH NANDALAL PARMAR"/>
    <s v="Total 1 Day Leave, 1 Day Leave Waived"/>
    <s v="Male"/>
    <d v="1985-11-28T00:00:00"/>
    <s v="NANDALAL PARMAR"/>
    <m/>
    <s v="AQQPP5013Q"/>
    <s v="parmarb388@gmail.com"/>
    <n v="9920422601"/>
    <n v="735709531809"/>
    <s v="E-101, SHREE RAM APARTMENT, SV ROAD, NEAR MILAP TALKIES GORAS WADI, KANDIVALI WEST MUMBAI MAHARASHTRA -400067"/>
    <d v="2019-01-01T00:00:00"/>
    <s v="Back Office Executive"/>
    <s v="Back Office"/>
    <s v="Secured Back Office"/>
    <s v="Borivali"/>
    <s v="No"/>
    <s v="No"/>
    <n v="12000"/>
    <n v="30"/>
    <n v="0"/>
    <n v="30"/>
    <n v="400"/>
    <n v="12000"/>
    <n v="12000"/>
    <n v="0"/>
    <n v="0"/>
    <n v="12000"/>
    <n v="12000"/>
    <n v="0"/>
    <n v="0"/>
    <m/>
    <n v="12000"/>
    <n v="0"/>
    <n v="0"/>
    <n v="0"/>
    <n v="200"/>
    <n v="0"/>
    <n v="0"/>
    <m/>
    <n v="11800"/>
    <x v="0"/>
    <s v="Back Office"/>
    <s v="FEDERAL BANK"/>
    <s v="99980125289475"/>
    <s v="FDRL0001622"/>
    <m/>
    <n v="0"/>
    <n v="0"/>
    <n v="0"/>
    <n v="0"/>
    <m/>
    <n v="0"/>
    <n v="0"/>
    <n v="0"/>
    <n v="0"/>
    <n v="12000"/>
    <m/>
    <m/>
    <m/>
    <n v="86"/>
    <s v="NO"/>
    <m/>
    <d v="2024-10-01T00:00:00"/>
    <s v="Below 14k"/>
  </r>
  <r>
    <n v="24"/>
    <s v="FIN00046"/>
    <s v="SUDHIR BAJI KADAM"/>
    <m/>
    <s v="Male"/>
    <d v="1975-09-25T00:00:00"/>
    <s v="Baji Govind Kadam"/>
    <s v="married"/>
    <s v="AUCPK6947N"/>
    <s v="1975kadamsudhir@gmail.com"/>
    <n v="9920671405"/>
    <s v="842363127744"/>
    <s v="HOUSE NO 728  ROOM NO G-7 AATMARAM NAGER  NEVALI  NAKA  SHREE MANGAL  ROAD NEAR IDEAL COLLAGE AMBERNATH NEVALI"/>
    <d v="2017-10-10T00:00:00"/>
    <s v="Admin Officer"/>
    <s v="Accounts &amp; Admin"/>
    <s v="Secured Back Office"/>
    <s v="Thane"/>
    <s v="Yes"/>
    <s v="Yes"/>
    <n v="17500"/>
    <n v="30"/>
    <n v="0"/>
    <n v="30"/>
    <n v="583.33333333333337"/>
    <n v="17500"/>
    <n v="13000"/>
    <n v="0"/>
    <n v="4500"/>
    <n v="17500"/>
    <n v="13000"/>
    <n v="0"/>
    <n v="4500"/>
    <m/>
    <n v="17500"/>
    <n v="0"/>
    <n v="1560"/>
    <n v="131.25"/>
    <n v="200"/>
    <n v="0"/>
    <n v="0"/>
    <m/>
    <n v="15609"/>
    <x v="0"/>
    <s v="Back Office"/>
    <s v="FEDERAL BANK"/>
    <s v="99980126332712"/>
    <s v="FDRL0001622"/>
    <m/>
    <n v="13000"/>
    <n v="1560"/>
    <n v="477"/>
    <n v="1083"/>
    <m/>
    <n v="17500"/>
    <n v="132"/>
    <n v="569"/>
    <n v="701"/>
    <n v="19629"/>
    <m/>
    <m/>
    <m/>
    <n v="101"/>
    <s v="100365924000"/>
    <s v="PF Back office &amp; A/c Team"/>
    <s v="FCLLP"/>
    <s v="PF And ESIC applicable"/>
  </r>
  <r>
    <n v="25"/>
    <s v="FIN00047"/>
    <s v="MITESH ASHOK GOHIL"/>
    <s v="Total 2 Day Leave, 2 Day Leave Waived"/>
    <s v="Male"/>
    <d v="1998-10-16T00:00:00"/>
    <s v="Ashok Gohil"/>
    <s v="Unmarried"/>
    <s v="CRAPG3167R"/>
    <s v="gohilmitesh1998@gmail.com"/>
    <n v="9819082094"/>
    <s v="481180982470"/>
    <s v="A- 305 NARMADA  DEEP  CABIN ROAD  RAWAL  NAGER  BHAYANDER (EAST)  - 401105"/>
    <d v="2018-08-01T00:00:00"/>
    <s v="Branch Operations Executive"/>
    <s v="Back Office"/>
    <s v="Secured Back Office"/>
    <s v="Borivali"/>
    <s v="No"/>
    <s v="No"/>
    <n v="22000"/>
    <n v="30"/>
    <n v="0"/>
    <n v="30"/>
    <n v="733.33333333333337"/>
    <n v="22000"/>
    <n v="16000"/>
    <n v="0"/>
    <n v="6000"/>
    <n v="22000"/>
    <n v="16000"/>
    <n v="0"/>
    <n v="6000"/>
    <m/>
    <n v="22000"/>
    <n v="0"/>
    <n v="0"/>
    <n v="0"/>
    <m/>
    <n v="0"/>
    <n v="440"/>
    <m/>
    <n v="21560"/>
    <x v="1"/>
    <s v="Back Office"/>
    <s v="FEDERAL BANK"/>
    <s v="99980125424999"/>
    <s v="FDRL0001622"/>
    <m/>
    <n v="0"/>
    <n v="0"/>
    <n v="0"/>
    <n v="0"/>
    <m/>
    <n v="0"/>
    <n v="0"/>
    <n v="0"/>
    <n v="0"/>
    <n v="22000"/>
    <m/>
    <m/>
    <m/>
    <n v="91"/>
    <s v="101507143915"/>
    <s v="PF Back office &amp; A/c Team"/>
    <s v="FCLLP"/>
    <s v="PF Applicable Only"/>
  </r>
  <r>
    <n v="26"/>
    <s v="FIN00048"/>
    <s v="VAIBHAV VIJAY NEMANE"/>
    <s v="Total 1 Day Leave, 1 Day Leave Waived"/>
    <s v="Male"/>
    <d v="1986-11-15T00:00:00"/>
    <s v="Vijay Ramji Nemane"/>
    <s v="married"/>
    <s v="AEEPN0667G"/>
    <s v="nemane.vaibhav73@gmail.com"/>
    <n v="9619460130"/>
    <s v="271060406977"/>
    <s v="R No. 2, 58-D, Nemane Chawl, Mehal Singh Compund, Dr. Ambedkar Road, Khar west, Mumbai- 400052"/>
    <d v="2023-03-09T00:00:00"/>
    <s v="Back Office Executive"/>
    <s v="Back Office"/>
    <s v="Secured Back Office"/>
    <s v="Borivali"/>
    <s v="No"/>
    <s v="No"/>
    <n v="25000"/>
    <n v="30"/>
    <n v="0"/>
    <n v="30"/>
    <n v="833.33333333333337"/>
    <n v="25000"/>
    <n v="20000"/>
    <n v="2000"/>
    <n v="3000"/>
    <n v="25000"/>
    <n v="20000"/>
    <n v="2000"/>
    <n v="3000"/>
    <n v="0"/>
    <n v="25000"/>
    <n v="0"/>
    <n v="0"/>
    <n v="0"/>
    <m/>
    <n v="0"/>
    <n v="500"/>
    <m/>
    <n v="24500"/>
    <x v="1"/>
    <s v="Back Office"/>
    <s v="FEDERAL BANK"/>
    <s v="99980125424957"/>
    <s v="FDRL0001622"/>
    <m/>
    <n v="0"/>
    <n v="0"/>
    <n v="0"/>
    <n v="0"/>
    <m/>
    <n v="0"/>
    <n v="0"/>
    <n v="0"/>
    <n v="0"/>
    <n v="25000"/>
    <m/>
    <m/>
    <m/>
    <n v="36"/>
    <s v="101492121378"/>
    <m/>
    <s v="FCLLP"/>
    <s v="PF Applicable Only"/>
  </r>
  <r>
    <n v="27"/>
    <s v="FIN00049"/>
    <s v="KARISHMA SHARAD RANJANE"/>
    <m/>
    <s v="Male"/>
    <d v="1992-08-27T00:00:00"/>
    <s v="Hasmukh Jaishanker Upadhyay"/>
    <s v="married"/>
    <s v="AVKPC3199F"/>
    <s v="sharadkari@gmail.com"/>
    <n v="9819672177"/>
    <s v="6801 5036 2480"/>
    <s v="003 NISARG CHS TAJ MAHARASHTRA  NAGAR TATA POWER  BORIVALI (EAST) MUMBAI -66"/>
    <d v="2023-10-01T00:00:00"/>
    <s v="Unit Manager"/>
    <s v="Sales"/>
    <s v="Sharad Ranjane"/>
    <s v="Borivali"/>
    <s v="No"/>
    <s v="No"/>
    <n v="35000"/>
    <n v="30"/>
    <n v="0"/>
    <n v="30"/>
    <n v="1166.6666666666667"/>
    <n v="35000"/>
    <n v="20000"/>
    <n v="10000"/>
    <n v="5000"/>
    <n v="35000"/>
    <n v="20000"/>
    <n v="10000"/>
    <n v="5000"/>
    <m/>
    <n v="35000"/>
    <n v="0"/>
    <n v="0"/>
    <n v="0"/>
    <n v="200"/>
    <n v="0"/>
    <n v="0"/>
    <m/>
    <n v="34800"/>
    <x v="0"/>
    <s v="Sales"/>
    <s v="FEDERAL BANK"/>
    <s v="99980126335541"/>
    <s v="FDRL0001622"/>
    <m/>
    <n v="0"/>
    <n v="0"/>
    <n v="0"/>
    <n v="0"/>
    <m/>
    <n v="0"/>
    <n v="0"/>
    <n v="0"/>
    <n v="0"/>
    <n v="35000"/>
    <m/>
    <m/>
    <m/>
    <n v="29"/>
    <e v="#N/A"/>
    <m/>
    <d v="2024-04-01T00:00:00"/>
    <s v="Only Pf Declaration required"/>
  </r>
  <r>
    <n v="28"/>
    <s v="FIN00050"/>
    <s v="DHARMISHTHA SHANTILAL PARMAR"/>
    <m/>
    <s v="Female"/>
    <d v="1996-12-12T00:00:00"/>
    <s v="Shantilal Bhanjibhai Parmar"/>
    <s v="Unmarried"/>
    <s v="CSWPP4339R"/>
    <s v="dharmi.p@finkartfinance.com"/>
    <s v="8097738456/9224371658"/>
    <s v="249534480116"/>
    <s v="RN.NO 5, lad chawl,khanderao dongni, dattapada road borivali (e) mumbai-400096"/>
    <d v="2023-03-01T00:00:00"/>
    <s v="Tele Sales Executive "/>
    <s v="Sales"/>
    <s v="Sharad Ranjane"/>
    <s v="Borivali"/>
    <s v="No"/>
    <s v="No"/>
    <n v="20000"/>
    <n v="30"/>
    <n v="0"/>
    <n v="30"/>
    <n v="666.66666666666663"/>
    <n v="20000"/>
    <n v="16000"/>
    <n v="0"/>
    <n v="4000"/>
    <n v="20000"/>
    <n v="16000"/>
    <n v="0"/>
    <n v="4000"/>
    <m/>
    <n v="20000"/>
    <n v="0"/>
    <n v="0"/>
    <n v="0"/>
    <m/>
    <n v="0"/>
    <n v="400"/>
    <m/>
    <n v="19600"/>
    <x v="1"/>
    <s v="Sales"/>
    <s v="FEDERAL BANK"/>
    <s v="99980126335038"/>
    <s v="FDRL0001622"/>
    <m/>
    <n v="0"/>
    <n v="0"/>
    <n v="0"/>
    <n v="0"/>
    <m/>
    <n v="0"/>
    <n v="0"/>
    <n v="0"/>
    <n v="0"/>
    <n v="20000"/>
    <m/>
    <m/>
    <m/>
    <n v="36"/>
    <s v="101507143860"/>
    <m/>
    <d v="2024-10-01T00:00:00"/>
    <s v="PF And ESIC applicable"/>
  </r>
  <r>
    <n v="29"/>
    <s v="FIN00051"/>
    <s v="MONIKA GIRDHARBHAI MUNJANI"/>
    <m/>
    <s v="Female"/>
    <d v="1993-01-05T00:00:00"/>
    <s v="Girdharbhai Ratilal Munjani"/>
    <s v="married"/>
    <s v="BZRPM9573M"/>
    <s v="monika.m@finkartfinance.com"/>
    <s v="7738856178/9930572449"/>
    <s v="663838767945"/>
    <s v="203, new pakiza chs ltd, s.v road kandivali (w) m-67"/>
    <d v="2023-03-01T00:00:00"/>
    <s v="Tele Sales Executive "/>
    <s v="Sales"/>
    <s v="Sharad Ranjane"/>
    <s v="Borivali"/>
    <s v="No"/>
    <s v="No"/>
    <n v="20000"/>
    <n v="30"/>
    <n v="0"/>
    <n v="30"/>
    <n v="666.66666666666663"/>
    <n v="20000"/>
    <n v="16000"/>
    <n v="0"/>
    <n v="4000"/>
    <n v="20000"/>
    <n v="16000"/>
    <n v="0"/>
    <n v="4000"/>
    <m/>
    <n v="20000"/>
    <n v="0"/>
    <n v="0"/>
    <n v="0"/>
    <m/>
    <n v="0"/>
    <n v="400"/>
    <m/>
    <n v="19600"/>
    <x v="1"/>
    <s v="Sales"/>
    <s v="FEDERAL BANK"/>
    <s v="99980125289418"/>
    <s v="FDRL0001622"/>
    <m/>
    <n v="0"/>
    <n v="0"/>
    <n v="0"/>
    <n v="0"/>
    <m/>
    <n v="0"/>
    <n v="0"/>
    <n v="0"/>
    <n v="0"/>
    <n v="20000"/>
    <m/>
    <m/>
    <m/>
    <n v="36"/>
    <s v="101507143927"/>
    <s v="Having PF Number Sales Team"/>
    <s v="FCLLP"/>
    <s v="PF And ESIC applicable"/>
  </r>
  <r>
    <n v="30"/>
    <s v="FIN00052"/>
    <s v="SONAL VIPUL MEHTA"/>
    <m/>
    <s v="Female"/>
    <d v="1977-09-26T00:00:00"/>
    <s v="Pravinbhai Devshibhai Parekh"/>
    <s v="married"/>
    <s v="BANPM1172R"/>
    <s v="sonal.m@finkartfinance .com"/>
    <s v="9987376658 /8450900227"/>
    <s v="471717466623"/>
    <s v="Room no.10, saiyya niwas,jainuddin compound, carter road -3 borivali (E)"/>
    <d v="2023-03-01T00:00:00"/>
    <s v="Tele Sales Executive "/>
    <s v="Sales"/>
    <s v="Sharad Ranjane"/>
    <s v="Borivali"/>
    <s v="No"/>
    <s v="No"/>
    <n v="20000"/>
    <n v="30"/>
    <n v="0"/>
    <n v="30"/>
    <n v="666.66666666666663"/>
    <n v="20000"/>
    <n v="16000"/>
    <n v="0"/>
    <n v="4000"/>
    <n v="20000"/>
    <n v="16000"/>
    <n v="0"/>
    <n v="4000"/>
    <m/>
    <n v="20000"/>
    <n v="0"/>
    <n v="0"/>
    <n v="0"/>
    <n v="0"/>
    <n v="0"/>
    <n v="400"/>
    <m/>
    <n v="19600"/>
    <x v="1"/>
    <s v="Sales"/>
    <s v="FEDERAL BANK"/>
    <s v="99980126335012"/>
    <s v="FDRL0001622"/>
    <m/>
    <n v="0"/>
    <n v="0"/>
    <n v="0"/>
    <n v="0"/>
    <m/>
    <n v="0"/>
    <n v="0"/>
    <n v="0"/>
    <n v="0"/>
    <n v="20000"/>
    <m/>
    <m/>
    <m/>
    <n v="36"/>
    <s v="101507144002"/>
    <s v="Having PF Number Sales Team"/>
    <d v="2024-10-01T00:00:00"/>
    <s v="PF And ESIC applicable"/>
  </r>
  <r>
    <n v="31"/>
    <s v="FIN00053"/>
    <s v="SUREKHA MANGESH PARAB"/>
    <m/>
    <s v="Female"/>
    <d v="1997-06-11T00:00:00"/>
    <s v="Mangesh Waman Parab "/>
    <s v="Single "/>
    <s v="DJYPP7935R"/>
    <s v="surekhaparab87@gmail.com"/>
    <n v="8788274386"/>
    <s v="6949 6889 3412"/>
    <s v="B/304 GAURAV  GARDEN CHS LAXMIBEN CHEDA MARG NALASOPARA WEST-401203"/>
    <d v="2025-01-03T00:00:00"/>
    <s v="Telecaller"/>
    <s v="Sales"/>
    <s v="Sharad Ranjane"/>
    <s v="Borivali"/>
    <s v="No"/>
    <s v="No"/>
    <n v="21000"/>
    <n v="30"/>
    <n v="0"/>
    <n v="30"/>
    <n v="700"/>
    <n v="21000"/>
    <n v="16000"/>
    <n v="0"/>
    <n v="5000"/>
    <n v="21000"/>
    <n v="16000"/>
    <n v="0"/>
    <n v="5000"/>
    <m/>
    <n v="21000"/>
    <n v="0"/>
    <m/>
    <m/>
    <m/>
    <n v="0"/>
    <n v="420"/>
    <m/>
    <n v="20580"/>
    <x v="1"/>
    <s v="Sales"/>
    <s v="ICICI Bank"/>
    <s v="000401779209"/>
    <s v="ICIC0000004"/>
    <m/>
    <n v="0"/>
    <n v="0"/>
    <n v="0"/>
    <n v="0"/>
    <m/>
    <n v="0"/>
    <n v="0"/>
    <n v="0"/>
    <n v="0"/>
    <n v="21000"/>
    <m/>
    <m/>
    <m/>
    <n v="14"/>
    <s v="101242524486"/>
    <m/>
    <m/>
    <m/>
  </r>
  <r>
    <n v="32"/>
    <s v="FIN00054"/>
    <s v="DNYANESHWARI ASHOK KEREKAR "/>
    <s v="Total 1 Day Leave, 1 Day Leave Waived"/>
    <s v="Female"/>
    <d v="2002-07-21T00:00:00"/>
    <s v="ASHOK KEREKAR"/>
    <s v="Unmarried"/>
    <s v="KNQPK6694R"/>
    <s v="dnyaneshwarikerekar@gmail.com"/>
    <n v="7715864803"/>
    <s v="7018-2786-5884"/>
    <s v=" LAXMI NIWAS,TRIMURTI,DEVIPADA,TATA POWER HOUSE,NEAR MAGATHANE DEPOT,BORIVALI EAST"/>
    <d v="2022-08-04T00:00:00"/>
    <s v="Branch Operations Executive"/>
    <s v="Back Office"/>
    <s v="Unsecured Back Office"/>
    <s v="Borivali"/>
    <s v="No"/>
    <s v="No"/>
    <n v="14000"/>
    <n v="30"/>
    <n v="0"/>
    <n v="30"/>
    <n v="466.66666666666669"/>
    <n v="14000"/>
    <n v="14000"/>
    <n v="0"/>
    <n v="0"/>
    <n v="14000"/>
    <n v="14000"/>
    <n v="0"/>
    <n v="0"/>
    <m/>
    <n v="14000"/>
    <n v="0"/>
    <n v="0"/>
    <n v="0"/>
    <n v="0"/>
    <n v="0"/>
    <n v="0"/>
    <m/>
    <n v="14000"/>
    <x v="0"/>
    <s v="Back Office"/>
    <s v="FEDERAL BANK"/>
    <s v="99980126335293"/>
    <s v="FDRL0001622"/>
    <m/>
    <n v="0"/>
    <n v="0"/>
    <n v="0"/>
    <n v="0"/>
    <m/>
    <n v="0"/>
    <n v="0"/>
    <n v="0"/>
    <n v="0"/>
    <n v="14000"/>
    <m/>
    <m/>
    <m/>
    <n v="43"/>
    <e v="#N/A"/>
    <m/>
    <d v="2024-10-01T00:00:00"/>
    <s v="Below 14k"/>
  </r>
  <r>
    <n v="33"/>
    <s v="FIN00055"/>
    <s v="GITESH DAKSHINI"/>
    <m/>
    <s v="Male"/>
    <d v="1963-11-24T00:00:00"/>
    <s v="Maganlal Lalji Dakshini"/>
    <s v="married"/>
    <s v="AVUPD3017F"/>
    <s v="giteshdakshini11@gmail.com"/>
    <n v="8898830525"/>
    <n v="295120697598"/>
    <s v="ROOM NO 28 THAKUR  CHAWL  WAMAN BHOIR   MARG   NEAR  SHELAR  CHAWL KANDARPADA  DAHISAR  WEST  MUMBAI -400068"/>
    <d v="2021-09-08T00:00:00"/>
    <s v="Back Office Executive"/>
    <s v="Back Office"/>
    <s v="Unsecured Back Office"/>
    <s v="Borivali"/>
    <s v="No"/>
    <s v="No"/>
    <n v="14000"/>
    <n v="30"/>
    <n v="0"/>
    <n v="30"/>
    <n v="466.66666666666669"/>
    <n v="14000"/>
    <n v="14000"/>
    <n v="0"/>
    <n v="0"/>
    <n v="14000"/>
    <n v="14000"/>
    <n v="0"/>
    <n v="0"/>
    <m/>
    <n v="14000"/>
    <n v="0"/>
    <n v="0"/>
    <n v="0"/>
    <n v="200"/>
    <n v="0"/>
    <n v="0"/>
    <m/>
    <n v="13800"/>
    <x v="0"/>
    <s v="Back Office"/>
    <s v="FEDERAL BANK"/>
    <s v="99980126328959"/>
    <s v="FDRL0001622"/>
    <m/>
    <n v="0"/>
    <n v="0"/>
    <n v="0"/>
    <n v="0"/>
    <m/>
    <n v="0"/>
    <n v="0"/>
    <n v="0"/>
    <n v="0"/>
    <n v="14000"/>
    <m/>
    <m/>
    <m/>
    <n v="54"/>
    <e v="#N/A"/>
    <m/>
    <d v="2024-10-01T00:00:00"/>
    <s v="Below 14k"/>
  </r>
  <r>
    <n v="34"/>
    <s v="FIN00056"/>
    <s v="KARTIK KADAM"/>
    <s v="Total 2 Day Leave, 2 Day Leave Waived"/>
    <s v="Male"/>
    <d v="2000-11-13T00:00:00"/>
    <s v="Vijay Rambhau Kadam"/>
    <s v="Unmarried"/>
    <s v="INJPK2728D"/>
    <s v="Kartik143kadam@gmail.com"/>
    <n v="7977498021"/>
    <n v="957665658267"/>
    <s v="S/O: Vijay kadam ,B/406, parvati soniya shingda niwas,achole road near saraswati school babulpada vasai thane 401209"/>
    <d v="2022-02-02T00:00:00"/>
    <s v="Branch Operations Executive"/>
    <s v="Back Office"/>
    <s v="Unsecured Back Office"/>
    <s v="Borivali"/>
    <s v="No"/>
    <s v="No"/>
    <n v="17000"/>
    <n v="30"/>
    <n v="0"/>
    <n v="30"/>
    <n v="566.66666666666663"/>
    <n v="17000"/>
    <n v="16000"/>
    <n v="0"/>
    <n v="1000"/>
    <n v="17000"/>
    <n v="16000"/>
    <n v="0"/>
    <n v="1000"/>
    <m/>
    <n v="17000"/>
    <n v="0"/>
    <n v="0"/>
    <n v="0"/>
    <n v="200"/>
    <n v="0"/>
    <n v="0"/>
    <m/>
    <n v="16800"/>
    <x v="0"/>
    <s v="Back Office"/>
    <s v="FEDERAL BANK"/>
    <s v="99980125424825"/>
    <s v="FDRL0001622"/>
    <m/>
    <n v="0"/>
    <n v="0"/>
    <n v="0"/>
    <n v="0"/>
    <m/>
    <n v="0"/>
    <n v="0"/>
    <n v="0"/>
    <n v="0"/>
    <n v="17000"/>
    <m/>
    <m/>
    <m/>
    <n v="49"/>
    <e v="#N/A"/>
    <m/>
    <d v="2024-10-01T00:00:00"/>
    <s v="Pf Declaration required, ESIC Aplicable"/>
  </r>
  <r>
    <n v="35"/>
    <s v="FIN00057"/>
    <s v="NINA AMRUTLAL CHAPATWALA"/>
    <m/>
    <s v="Female"/>
    <d v="1971-08-04T00:00:00"/>
    <s v="Amrutlal Dayalbhal Chapatwala"/>
    <s v="Unmarried"/>
    <s v="AINPC1301M"/>
    <s v="nina.c@fineoteric.com"/>
    <n v="9082511156"/>
    <s v="912931986707"/>
    <s v="303 SHREE LAXMI VILAS CHS OPP HEENADAULAT NAGAR ROAD NO 1 BORIVALI EAST MUMBAI 400066"/>
    <d v="2016-12-15T00:00:00"/>
    <s v="Branch Operations Executive"/>
    <s v="Back Office"/>
    <s v="Unsecured Back Office"/>
    <s v="Borivali"/>
    <s v="Yes"/>
    <s v="Yes"/>
    <n v="14000"/>
    <n v="30"/>
    <n v="0"/>
    <n v="30"/>
    <n v="466.66666666666669"/>
    <n v="14000"/>
    <n v="12500"/>
    <n v="0"/>
    <n v="1500"/>
    <n v="14000"/>
    <n v="12500"/>
    <n v="0"/>
    <n v="1500"/>
    <m/>
    <n v="14000"/>
    <n v="0"/>
    <n v="1500"/>
    <n v="105"/>
    <n v="0"/>
    <n v="0"/>
    <n v="0"/>
    <m/>
    <n v="12395"/>
    <x v="0"/>
    <s v="Back Office"/>
    <s v="FEDERAL BANK"/>
    <s v="99980125424833"/>
    <s v="FDRL0001622"/>
    <m/>
    <n v="12500"/>
    <n v="1500"/>
    <n v="459"/>
    <n v="1041"/>
    <m/>
    <n v="14000"/>
    <n v="105"/>
    <n v="455"/>
    <n v="560"/>
    <n v="15955"/>
    <m/>
    <m/>
    <m/>
    <n v="111"/>
    <s v="101507143943"/>
    <s v="Already PF &amp; ESIC Deducted"/>
    <d v="2024-10-01T00:00:00"/>
    <s v="Already PF Deducted"/>
  </r>
  <r>
    <n v="36"/>
    <s v="FIN00058"/>
    <s v="SANJAY ANANT BHOSALE"/>
    <m/>
    <s v="Male"/>
    <d v="1968-12-15T00:00:00"/>
    <s v="ANANT SADASHIV BHOSALE"/>
    <s v="married"/>
    <s v="AMLPB0972B"/>
    <s v="sanjaybhosale9819@gmail.com"/>
    <n v="9819978417"/>
    <s v="665045274639"/>
    <s v="4/2 MOHIDDIN CHAWL SUBHASH NAGAR JOGHESHWARI EAST MUMBAI 400060"/>
    <d v="2019-09-01T00:00:00"/>
    <s v="Branch Operations Executive"/>
    <s v="Back Office"/>
    <s v="Unsecured Back Office"/>
    <s v="Borivali"/>
    <s v="No"/>
    <s v="No"/>
    <n v="26500"/>
    <n v="30"/>
    <n v="0"/>
    <n v="30"/>
    <n v="883.33333333333337"/>
    <n v="26500"/>
    <n v="20000"/>
    <n v="2000"/>
    <n v="4500"/>
    <n v="26500"/>
    <n v="20000"/>
    <n v="2000"/>
    <n v="4500"/>
    <m/>
    <n v="26500"/>
    <n v="0"/>
    <n v="0"/>
    <n v="0"/>
    <n v="200"/>
    <n v="0"/>
    <n v="0"/>
    <n v="2000"/>
    <n v="24300"/>
    <x v="0"/>
    <s v="Back Office"/>
    <s v="FEDERAL BANK"/>
    <s v="99980125424858"/>
    <s v="FDRL0001622"/>
    <m/>
    <n v="0"/>
    <n v="0"/>
    <n v="0"/>
    <n v="0"/>
    <m/>
    <n v="0"/>
    <n v="0"/>
    <n v="0"/>
    <n v="0"/>
    <n v="26500"/>
    <m/>
    <m/>
    <m/>
    <n v="78"/>
    <e v="#N/A"/>
    <m/>
    <d v="2024-04-01T00:00:00"/>
    <s v="Only Pf Declaration required"/>
  </r>
  <r>
    <n v="37"/>
    <s v="FIN00059"/>
    <s v="PANKAJ S RALE"/>
    <m/>
    <s v="Male"/>
    <d v="1978-04-14T00:00:00"/>
    <s v="SHANTARAM GOVIND RALE"/>
    <s v="married"/>
    <s v="AJNPR6060M"/>
    <s v="pankajrale19@gmail.com"/>
    <n v="9029607887"/>
    <s v="628312093254"/>
    <s v="YASHWANT SHALI CO OP HOS PLOT NO 191 ROOM NO 13 SECTOR NO 1 CHARKOP KANDVALI ( W) MUMBAI 400067"/>
    <d v="2018-08-01T00:00:00"/>
    <s v="Branch Operations Mgr"/>
    <s v="Back Office"/>
    <s v="Unsecured Back Office"/>
    <s v="Borivali"/>
    <s v="Yes"/>
    <s v="No"/>
    <n v="38200"/>
    <n v="30"/>
    <n v="0"/>
    <n v="30"/>
    <n v="1273.3333333333333"/>
    <n v="38200"/>
    <n v="15000"/>
    <n v="7500"/>
    <n v="15700"/>
    <n v="38200"/>
    <n v="15000"/>
    <n v="7500"/>
    <n v="15700"/>
    <m/>
    <n v="38200"/>
    <n v="0"/>
    <n v="1800"/>
    <n v="0"/>
    <n v="200"/>
    <n v="0"/>
    <n v="0"/>
    <n v="2000"/>
    <n v="34200"/>
    <x v="0"/>
    <s v="Back Office"/>
    <s v="FEDERAL BANK"/>
    <s v="99980125424866"/>
    <s v="FDRL0001622"/>
    <m/>
    <n v="15000"/>
    <n v="1800"/>
    <n v="550"/>
    <n v="1250"/>
    <m/>
    <n v="0"/>
    <n v="0"/>
    <n v="0"/>
    <n v="0"/>
    <n v="40000"/>
    <m/>
    <m/>
    <m/>
    <n v="91"/>
    <s v="101138672562"/>
    <s v="PF Back office &amp; A/c Team"/>
    <s v="FCLLP"/>
    <s v="PF Applicable Only"/>
  </r>
  <r>
    <n v="38"/>
    <s v="FIN00060"/>
    <s v="SUCHITA CHINTAMANI PANDEY"/>
    <s v="50% salary to be processed"/>
    <s v="Female"/>
    <d v="1984-11-19T00:00:00"/>
    <s v="Chintamani Brhamdev Pandey"/>
    <s v="married"/>
    <s v="ARHPP1380N"/>
    <s v="suchitafineoteric@gmail.com"/>
    <n v="9967792016"/>
    <s v="886481427711"/>
    <s v="A-304, GOKUL HERITAGE AGRWAL GARDEN BOLIN J GOKUL TOWNSHIP VIRAR-(W)"/>
    <d v="2019-09-01T00:00:00"/>
    <s v="Branch Operations Mgr"/>
    <s v="Back Office"/>
    <s v="Unsecured Back Office"/>
    <s v="Borivali"/>
    <s v="No"/>
    <s v="No"/>
    <n v="33000"/>
    <n v="30"/>
    <n v="15"/>
    <n v="15"/>
    <n v="1100"/>
    <n v="16500"/>
    <n v="20000"/>
    <n v="5000"/>
    <n v="8000"/>
    <n v="33000"/>
    <n v="10000"/>
    <n v="2500"/>
    <n v="4000"/>
    <m/>
    <n v="16500"/>
    <n v="0"/>
    <n v="0"/>
    <n v="0"/>
    <n v="0"/>
    <n v="0"/>
    <n v="0"/>
    <m/>
    <n v="16500"/>
    <x v="0"/>
    <s v="Back Office"/>
    <s v="FEDERAL BANK"/>
    <s v="99980125424841"/>
    <s v="FDRL0001622"/>
    <m/>
    <n v="0"/>
    <n v="0"/>
    <n v="0"/>
    <n v="0"/>
    <m/>
    <n v="0"/>
    <n v="0"/>
    <n v="0"/>
    <n v="0"/>
    <n v="16500"/>
    <m/>
    <m/>
    <m/>
    <n v="78"/>
    <e v="#N/A"/>
    <m/>
    <d v="2024-04-01T00:00:00"/>
    <s v="Only Pf Declaration required"/>
  </r>
  <r>
    <n v="39"/>
    <s v="FIN00061"/>
    <s v="KEDAR KAMALKANT SHEMBEKAR"/>
    <m/>
    <s v="Male"/>
    <d v="1977-09-08T00:00:00"/>
    <s v="Kamalkant Ramkrishna Shembekar"/>
    <s v="married"/>
    <s v="BCAPS7483N"/>
    <s v="shembekarkedar@gmail.com"/>
    <n v="9920582834"/>
    <s v="683758942342"/>
    <s v="C 6 MEGH MALHAR NAU PADA THANE (W ) 400602"/>
    <d v="2019-03-28T00:00:00"/>
    <s v="Branch Operations Mgr"/>
    <s v="Back Office"/>
    <s v="Unsecured Back Office"/>
    <s v="Borivali"/>
    <s v="No"/>
    <s v="No"/>
    <n v="40000"/>
    <n v="30"/>
    <n v="0"/>
    <n v="30"/>
    <n v="1333.3333333333333"/>
    <n v="40000"/>
    <n v="20000"/>
    <n v="10000"/>
    <n v="10000"/>
    <n v="40000"/>
    <n v="20000"/>
    <n v="10000"/>
    <n v="10000"/>
    <m/>
    <n v="40000"/>
    <n v="0"/>
    <n v="0"/>
    <n v="0"/>
    <m/>
    <n v="0"/>
    <n v="800"/>
    <n v="2000"/>
    <n v="37200"/>
    <x v="1"/>
    <s v="Back Office"/>
    <s v="FEDERAL BANK"/>
    <s v="99980125425350"/>
    <s v="FDRL0001622"/>
    <m/>
    <n v="0"/>
    <n v="0"/>
    <n v="0"/>
    <n v="0"/>
    <m/>
    <n v="0"/>
    <n v="0"/>
    <n v="0"/>
    <n v="0"/>
    <n v="40000"/>
    <m/>
    <m/>
    <m/>
    <n v="84"/>
    <s v="101139338260"/>
    <m/>
    <s v="FCLLP"/>
    <s v="PF Applicable Only"/>
  </r>
  <r>
    <n v="40"/>
    <s v="FIN00062"/>
    <s v="MAHESH PRAKASH SAPKAL"/>
    <m/>
    <s v="Male"/>
    <d v="1993-11-13T00:00:00"/>
    <s v="Prakash Tukaram Sapkal"/>
    <s v="Unmarried"/>
    <s v="DXUPS6526R"/>
    <s v="maheshsapkal1432@gmail.com"/>
    <n v="9323803307"/>
    <m/>
    <m/>
    <d v="2022-10-06T00:00:00"/>
    <s v="Branch Operations Executive"/>
    <s v="Back Office"/>
    <s v="Unsecured Back Office"/>
    <s v="Borivali"/>
    <s v="No"/>
    <s v="No"/>
    <n v="31200"/>
    <n v="30"/>
    <n v="0"/>
    <n v="30"/>
    <n v="1040"/>
    <n v="31200"/>
    <n v="20000"/>
    <n v="5000"/>
    <n v="6200"/>
    <n v="31200"/>
    <n v="20000"/>
    <n v="5000"/>
    <n v="6200"/>
    <m/>
    <n v="31200"/>
    <n v="0"/>
    <n v="0"/>
    <n v="0"/>
    <m/>
    <n v="0"/>
    <n v="624"/>
    <m/>
    <n v="30576"/>
    <x v="1"/>
    <s v="Back Office"/>
    <s v="FEDERAL BANK"/>
    <s v="99980114025666"/>
    <s v="FDRL0001176"/>
    <m/>
    <n v="0"/>
    <n v="0"/>
    <n v="0"/>
    <n v="0"/>
    <m/>
    <n v="0"/>
    <n v="0"/>
    <n v="0"/>
    <n v="0"/>
    <n v="31200"/>
    <m/>
    <m/>
    <m/>
    <n v="41"/>
    <s v="100440980491"/>
    <m/>
    <s v="FCLLP"/>
    <s v="PF Applicable Only"/>
  </r>
  <r>
    <n v="41"/>
    <s v="FIN00063"/>
    <s v="MEGHA BHEEM REDDY TIRLAPUR"/>
    <m/>
    <s v="Female"/>
    <d v="1997-06-04T00:00:00"/>
    <s v="BHEEM HEMA REDDY TIRLAPUR"/>
    <s v="Unmarried"/>
    <s v="CDOPR3058N"/>
    <s v="meghareddy270@gmail.com"/>
    <n v="9167739394"/>
    <s v="7070-4424-4626"/>
    <s v="A/202, Queens Castle,Queens Park,Mira Bhayander Road East, Thane, 401107"/>
    <d v="2022-12-15T00:00:00"/>
    <s v="Back Office Coordinator"/>
    <s v="Back Office"/>
    <s v="Unsecured Back Office"/>
    <s v="Borivali"/>
    <s v="No"/>
    <s v="No"/>
    <n v="16000"/>
    <n v="30"/>
    <n v="0"/>
    <n v="30"/>
    <n v="533.33333333333337"/>
    <n v="16000.000000000002"/>
    <n v="16000"/>
    <n v="0"/>
    <n v="0"/>
    <n v="16000"/>
    <n v="16000"/>
    <n v="0"/>
    <n v="0"/>
    <m/>
    <n v="16000"/>
    <n v="1.8189894035458565E-12"/>
    <n v="0"/>
    <n v="0"/>
    <m/>
    <n v="0"/>
    <n v="320"/>
    <m/>
    <n v="15680"/>
    <x v="1"/>
    <s v="Back Office"/>
    <s v="FEDERAL BANK"/>
    <s v="99980126335327"/>
    <s v="FDRL0001622"/>
    <m/>
    <n v="0"/>
    <n v="0"/>
    <n v="0"/>
    <n v="0"/>
    <m/>
    <n v="0"/>
    <n v="0"/>
    <n v="0"/>
    <n v="0"/>
    <n v="16000"/>
    <m/>
    <m/>
    <m/>
    <n v="39"/>
    <s v="101387776011"/>
    <s v="PF Back office &amp; A/c Team"/>
    <s v="FCLLP"/>
    <s v="PF And ESIC applicable"/>
  </r>
  <r>
    <n v="42"/>
    <s v="FIN00064"/>
    <s v="MANGESH DATTARAM PANCHAL"/>
    <m/>
    <s v="Male"/>
    <d v="1969-06-20T00:00:00"/>
    <s v="DATTARAM SHANKAR PANCHAL"/>
    <s v="married"/>
    <s v="AYMPP8983B"/>
    <s v="NA"/>
    <n v="9324448126"/>
    <n v="755011550738"/>
    <s v="S/O Dattaram panchal 4/B 305 SAHAYOG CO. op housing society T.J Road ram tekdi path sewi mumbai 400015"/>
    <d v="2014-05-03T00:00:00"/>
    <s v="Back Office Executive"/>
    <s v="Back Office"/>
    <s v="Unsecured Back Office"/>
    <s v="Borivali"/>
    <s v="No"/>
    <s v="No"/>
    <n v="16000"/>
    <n v="30"/>
    <n v="0"/>
    <n v="30"/>
    <n v="533.33333333333337"/>
    <n v="16000.000000000002"/>
    <n v="16000"/>
    <n v="0"/>
    <n v="0"/>
    <n v="16000"/>
    <n v="16000"/>
    <n v="0"/>
    <n v="0"/>
    <m/>
    <n v="16000"/>
    <n v="1.8189894035458565E-12"/>
    <n v="0"/>
    <n v="0"/>
    <m/>
    <n v="0"/>
    <n v="320"/>
    <m/>
    <n v="15680"/>
    <x v="1"/>
    <s v="Back Office"/>
    <s v="FEDERAL BANK"/>
    <s v="99980126335426"/>
    <s v="FDRL0001622"/>
    <m/>
    <n v="0"/>
    <n v="0"/>
    <n v="0"/>
    <n v="0"/>
    <m/>
    <n v="0"/>
    <n v="0"/>
    <n v="0"/>
    <n v="0"/>
    <n v="16000"/>
    <m/>
    <m/>
    <m/>
    <n v="142"/>
    <s v="101507143894"/>
    <s v="PF Back office &amp; A/c Team"/>
    <s v="FCLLP"/>
    <s v="PF And ESIC applicable"/>
  </r>
  <r>
    <n v="43"/>
    <s v="FIN00065"/>
    <s v="ROSHAN DEVISHARAN SINGH"/>
    <m/>
    <s v="Male"/>
    <d v="1992-10-10T00:00:00"/>
    <s v="DEVISHARAN RAJDEV SINGH"/>
    <s v="Unmarried"/>
    <s v="GVNPS5123L"/>
    <s v="singhroshan3924@gmail.com"/>
    <n v="8793809980"/>
    <s v="4640 2906 4251"/>
    <s v="ROOM NO-1 SHIV SHAKTI CHAWL WAGHRAL PADA NEAR SONU  DEVI  MANDIR RAJAWALI VASAI EAST PALGHAR MAHARASHTRA-401208"/>
    <d v="2025-03-22T00:00:00"/>
    <s v="Back Office Executive"/>
    <s v="Back Office"/>
    <s v="Unsecured Back Office"/>
    <s v="Borivali"/>
    <s v="No"/>
    <s v="No"/>
    <n v="12000"/>
    <n v="30"/>
    <n v="0"/>
    <n v="30"/>
    <n v="400"/>
    <n v="12000"/>
    <n v="12000"/>
    <m/>
    <m/>
    <n v="12000"/>
    <n v="12000"/>
    <n v="0"/>
    <n v="0"/>
    <m/>
    <n v="12000"/>
    <n v="0"/>
    <n v="0"/>
    <m/>
    <n v="0"/>
    <n v="0"/>
    <n v="240"/>
    <n v="0"/>
    <n v="11760"/>
    <x v="1"/>
    <s v="Back Office"/>
    <s v="BANK OF BARODA"/>
    <s v="76578100004864"/>
    <s v="BARB0VJGOKH"/>
    <m/>
    <n v="0"/>
    <n v="0"/>
    <n v="0"/>
    <n v="0"/>
    <m/>
    <n v="0"/>
    <n v="0"/>
    <n v="0"/>
    <n v="0"/>
    <n v="12000"/>
    <m/>
    <m/>
    <m/>
    <n v="12"/>
    <s v="NO"/>
    <m/>
    <m/>
    <m/>
  </r>
  <r>
    <n v="44"/>
    <s v="FIN00066"/>
    <s v="ALISHA VAIBHAV SHETYE"/>
    <m/>
    <s v="Female"/>
    <d v="1998-12-26T00:00:00"/>
    <s v="VAIBHAV UHDDAV SHETYE"/>
    <s v="Unmarried"/>
    <s v="JQPPS9027F"/>
    <s v="alishashetye36@gmail.com"/>
    <n v="8652710229"/>
    <s v="2242 4483 3377"/>
    <s v="OMKAR  SOCIETY  ROOM  NO 306 3 RD FLOOR  B WING  NEAR  JASMINE  APT  AZADE GAON   DOMBIVALI  EAST -421201"/>
    <d v="2025-04-09T00:00:00"/>
    <s v="Sales Executive"/>
    <s v="Sales"/>
    <s v="Rahul Bhavsar"/>
    <s v="Thane"/>
    <s v="No"/>
    <s v="No"/>
    <n v="16000"/>
    <n v="30"/>
    <n v="0"/>
    <n v="30"/>
    <n v="533.33333333333337"/>
    <n v="16000.000000000002"/>
    <n v="16000"/>
    <n v="0"/>
    <n v="0"/>
    <n v="16000"/>
    <n v="16000"/>
    <n v="0"/>
    <n v="0"/>
    <m/>
    <n v="16000"/>
    <n v="1.8189894035458565E-12"/>
    <n v="0"/>
    <n v="0"/>
    <m/>
    <n v="0"/>
    <n v="320"/>
    <m/>
    <n v="15680"/>
    <x v="1"/>
    <s v="Sales"/>
    <s v="DBS BANK"/>
    <s v="8853010000009386"/>
    <s v="DBSS0IN0853"/>
    <m/>
    <n v="0"/>
    <n v="0"/>
    <n v="0"/>
    <n v="0"/>
    <m/>
    <n v="0"/>
    <n v="0"/>
    <n v="0"/>
    <n v="0"/>
    <n v="16000"/>
    <m/>
    <m/>
    <m/>
    <n v="11"/>
    <m/>
    <m/>
    <m/>
    <m/>
  </r>
  <r>
    <n v="45"/>
    <s v="FIN00067"/>
    <s v="JAVED KASIM SHAIKH"/>
    <m/>
    <s v="Male"/>
    <d v="2003-08-12T00:00:00"/>
    <s v="KASIM CHAND SHAIKH"/>
    <s v="Unmarried"/>
    <s v="ORZPS2036E"/>
    <s v="javedmary201@gmail.com"/>
    <n v="8237432558"/>
    <s v="6366 5122 5184"/>
    <s v="RX  84 2/2 GANESH  NAGER WELFARE SOCIETY LINK ROAD NEAR ROYAL CLASSAS GANESH NAGER CHARKOP KANDIVALI  WEST MUMBAI -400067"/>
    <d v="2025-09-15T00:00:00"/>
    <s v="Tele Caller"/>
    <s v="Sales"/>
    <s v="Dhawal Upadhyay"/>
    <s v="Borivali"/>
    <s v="No"/>
    <s v="No"/>
    <n v="22500"/>
    <n v="30"/>
    <n v="0.5"/>
    <n v="29.5"/>
    <n v="750"/>
    <n v="22125"/>
    <n v="22500"/>
    <m/>
    <m/>
    <n v="22500"/>
    <n v="22125"/>
    <m/>
    <m/>
    <m/>
    <n v="22125"/>
    <n v="0"/>
    <m/>
    <m/>
    <m/>
    <n v="0"/>
    <n v="442.5"/>
    <m/>
    <n v="21683"/>
    <x v="1"/>
    <s v="Sales"/>
    <s v="HDFC BANK"/>
    <s v="50100620283261"/>
    <s v="HDFC0000411"/>
    <m/>
    <n v="0"/>
    <n v="0"/>
    <n v="0"/>
    <n v="0"/>
    <m/>
    <n v="0"/>
    <n v="0"/>
    <n v="0"/>
    <n v="0"/>
    <n v="22125"/>
    <m/>
    <m/>
    <m/>
    <n v="6"/>
    <m/>
    <m/>
    <m/>
    <m/>
  </r>
  <r>
    <n v="46"/>
    <s v="FIN00068"/>
    <s v="ARCHANA NANDKUMAR GARAD"/>
    <m/>
    <s v="Female"/>
    <d v="1994-04-25T00:00:00"/>
    <s v="NANDKUMAR GARAD"/>
    <s v="married"/>
    <s v="BRNPG9815L"/>
    <s v="GARCHU025@GMAIL.COM"/>
    <n v="8652658357"/>
    <n v="596222783432"/>
    <s v="ROOM NO-121,OM GANESH NAGAR,C LINE ,R C MARG,VASHI NAKA,NEAR POLICE STATION,CHEMBUR,MUMBAI-400074."/>
    <d v="2025-12-02T00:00:00"/>
    <s v="Telecaller"/>
    <s v="Sales"/>
    <s v="JAYESH NARKAR"/>
    <s v="Dadar"/>
    <s v="No"/>
    <s v="No"/>
    <n v="17000"/>
    <n v="30"/>
    <n v="2"/>
    <n v="28"/>
    <n v="566.66666666666663"/>
    <n v="15866.666666666666"/>
    <n v="17000"/>
    <m/>
    <m/>
    <n v="17000"/>
    <n v="15867"/>
    <n v="0"/>
    <n v="0"/>
    <m/>
    <n v="15867"/>
    <n v="-0.33333333333393966"/>
    <m/>
    <m/>
    <m/>
    <n v="0"/>
    <n v="317.34000000000003"/>
    <m/>
    <n v="15550"/>
    <x v="1"/>
    <s v="Sales"/>
    <s v="UNION BANK"/>
    <s v="365602010097924"/>
    <s v="UBIN0563684"/>
    <m/>
    <n v="0"/>
    <n v="0"/>
    <n v="0"/>
    <n v="0"/>
    <m/>
    <n v="0"/>
    <n v="0"/>
    <n v="0"/>
    <n v="0"/>
    <n v="15867"/>
    <m/>
    <m/>
    <m/>
    <n v="3"/>
    <m/>
    <m/>
    <m/>
    <m/>
  </r>
  <r>
    <n v="47"/>
    <s v="FIN00070"/>
    <s v="NISHA AMAR GAIKWAD"/>
    <m/>
    <s v="Female"/>
    <d v="1982-11-26T00:00:00"/>
    <s v="Brijesh Mishra"/>
    <s v="married"/>
    <s v="BCTPG5787N"/>
    <s v="nisaag@gmail.com"/>
    <n v="9325864912"/>
    <s v="8570 0830 6596"/>
    <s v="W/O AMAR GAIKWAD,A-203 K.T NAGAR PHASE 1, SAI NAGAR , AMBADI ROAD, NEAR PADMAVATI HOSPITAL,VASAI ROAD, MAHARASHTRA 401202"/>
    <d v="2024-11-08T00:00:00"/>
    <s v="Manager"/>
    <s v="Sales"/>
    <s v="NISHA_USHAM TEAM"/>
    <s v="Borivali "/>
    <s v="No"/>
    <s v="No"/>
    <n v="47000"/>
    <n v="30"/>
    <n v="0"/>
    <n v="30"/>
    <n v="1566.6666666666667"/>
    <n v="47000"/>
    <n v="25000"/>
    <n v="12500"/>
    <n v="9500"/>
    <n v="47000"/>
    <n v="25000"/>
    <n v="12500"/>
    <n v="9500"/>
    <m/>
    <n v="47000"/>
    <n v="0"/>
    <n v="0"/>
    <n v="0"/>
    <n v="200"/>
    <n v="0"/>
    <n v="0"/>
    <m/>
    <n v="46800"/>
    <x v="0"/>
    <s v="Sales"/>
    <s v="Saraswat Bank"/>
    <s v="413200100000405"/>
    <s v="SRCB0000143"/>
    <m/>
    <n v="0"/>
    <n v="0"/>
    <n v="0"/>
    <n v="0"/>
    <m/>
    <n v="0"/>
    <n v="0"/>
    <n v="0"/>
    <n v="0"/>
    <n v="47000"/>
    <m/>
    <m/>
    <m/>
    <n v="16"/>
    <s v="NO"/>
    <s v="NEED TO CHECK"/>
    <d v="2024-11-08T00:00:00"/>
    <s v="NEED TO CHECK"/>
  </r>
  <r>
    <n v="48"/>
    <s v="FCPL0108"/>
    <s v="JANSI MARIYAL SHEETY"/>
    <m/>
    <s v="Female"/>
    <d v="2003-11-29T00:00:00"/>
    <s v="SURAJ SHETTY "/>
    <s v="Unmarried"/>
    <s v="PDJPS7684M"/>
    <s v="Mariyalshetty29@gmail.com"/>
    <n v="9321192907"/>
    <s v="4655 7028 1856"/>
    <s v="07 SHANIVAR B KENI CHAWL, NAHAR NAGAR ROAD, NEAR K.G. MITTAL COLLEGE, BHANDARWADA, MALAD WEST, MUMBAI-400064."/>
    <d v="2025-12-02T00:00:00"/>
    <s v="Tele Caller"/>
    <s v="Sales"/>
    <s v="NISHA_USHAM TEAM"/>
    <s v="Borivali "/>
    <s v="No"/>
    <s v="No"/>
    <n v="12000"/>
    <n v="30"/>
    <n v="0"/>
    <n v="30"/>
    <n v="400"/>
    <n v="12000"/>
    <n v="12000"/>
    <n v="0"/>
    <n v="0"/>
    <n v="12000"/>
    <n v="12000"/>
    <m/>
    <m/>
    <m/>
    <n v="12000"/>
    <n v="0"/>
    <m/>
    <m/>
    <m/>
    <m/>
    <n v="240"/>
    <m/>
    <n v="11760"/>
    <x v="1"/>
    <s v="Sales"/>
    <s v="AXIS BANK"/>
    <s v="923010034155531"/>
    <s v="UTIB0000219"/>
    <s v="I050326142465195"/>
    <n v="0"/>
    <n v="0"/>
    <n v="0"/>
    <n v="0"/>
    <m/>
    <n v="0"/>
    <n v="0"/>
    <n v="0"/>
    <n v="0"/>
    <n v="12000"/>
    <m/>
    <m/>
    <m/>
    <n v="3"/>
    <m/>
    <m/>
    <m/>
    <m/>
  </r>
  <r>
    <n v="49"/>
    <s v="FIN00077"/>
    <s v="SANJIVANI MADHUKAR HATEKAR"/>
    <m/>
    <s v="Female"/>
    <d v="2003-07-20T00:00:00"/>
    <s v="MADHUKAR HATEKAR"/>
    <s v="Unmarried"/>
    <s v="BOYPH0757J"/>
    <s v="hatekarsanjeevni@gmail.com"/>
    <s v=" 8459464994"/>
    <s v="3229 6261 0854"/>
    <s v="ROOM NO 202 SHAKTI APT VIRAR ROAD NEAR NUTAN VIDYALYAY OM NAGAR VASAI-401209"/>
    <d v="2026-02-23T00:00:00"/>
    <s v="Telecaller"/>
    <s v="Sales"/>
    <s v="Anita Thakkar"/>
    <s v="Thane"/>
    <s v="No"/>
    <s v="No"/>
    <n v="25000"/>
    <n v="30"/>
    <n v="8"/>
    <n v="22"/>
    <n v="833.33333333333337"/>
    <n v="18333.333333333336"/>
    <n v="25000"/>
    <m/>
    <m/>
    <n v="25000"/>
    <n v="18333"/>
    <m/>
    <m/>
    <n v="200"/>
    <n v="18533"/>
    <n v="0.33333333333575865"/>
    <m/>
    <m/>
    <m/>
    <m/>
    <n v="370.66"/>
    <m/>
    <n v="18162"/>
    <x v="1"/>
    <s v="Sales"/>
    <s v="HDFC BANK"/>
    <s v="50100564022548"/>
    <s v="HDFC0000543"/>
    <m/>
    <n v="0"/>
    <n v="0"/>
    <n v="0"/>
    <n v="0"/>
    <m/>
    <n v="0"/>
    <n v="0"/>
    <n v="0"/>
    <n v="0"/>
    <n v="18533"/>
    <m/>
    <m/>
    <m/>
    <m/>
    <m/>
    <m/>
    <m/>
    <m/>
  </r>
  <r>
    <n v="50"/>
    <s v="FIN00079"/>
    <s v="KHUSBOO JITENDRA GUPTA"/>
    <m/>
    <s v="Female"/>
    <d v="2005-10-25T00:00:00"/>
    <s v="JITENDRA GUPTA"/>
    <m/>
    <s v="EOCPG4704R"/>
    <s v="khushboogupta12mau@gmail.com"/>
    <n v="8369506697"/>
    <s v="9303 8570 7144"/>
    <s v="D-8 PENKAR PADA MAHAVIR NAGAR MIRA ROAD THANE-401105 "/>
    <d v="2026-03-06T00:00:00"/>
    <s v="Telecaller"/>
    <s v="Sales"/>
    <s v="Dhawal Upadhyay"/>
    <s v="Borivali"/>
    <s v="No"/>
    <s v="No"/>
    <n v="18000"/>
    <n v="30"/>
    <n v="14"/>
    <n v="16"/>
    <n v="600"/>
    <n v="9600"/>
    <n v="18000"/>
    <m/>
    <m/>
    <n v="18000"/>
    <n v="9600"/>
    <m/>
    <m/>
    <m/>
    <n v="9600"/>
    <n v="0"/>
    <m/>
    <m/>
    <m/>
    <m/>
    <n v="192"/>
    <m/>
    <n v="9408"/>
    <x v="1"/>
    <s v="Sales"/>
    <s v="BOB"/>
    <s v="10348100005306"/>
    <s v="BARB0MAUNAT"/>
    <m/>
    <n v="0"/>
    <n v="0"/>
    <n v="0"/>
    <n v="0"/>
    <m/>
    <n v="0"/>
    <n v="0"/>
    <n v="0"/>
    <n v="0"/>
    <n v="9600"/>
    <m/>
    <m/>
    <m/>
    <m/>
    <m/>
    <m/>
    <m/>
    <m/>
  </r>
  <r>
    <n v="51"/>
    <m/>
    <s v="SIDDHANT VINAYAK MANVE"/>
    <s v="NEW JOINEE"/>
    <s v="Male"/>
    <d v="1990-10-05T00:00:00"/>
    <s v="VINAYAK MANVE"/>
    <s v="Unmarried"/>
    <s v="BJZPM5927K"/>
    <s v="siddhantmanve.com@gmail.com"/>
    <n v="8433559983"/>
    <s v="6786 7537 7332"/>
    <s v="B/401, GOKUL NAGARI - II, A AND B CHS LTD. OFF WESTERN EXPRESS HIGHWAY, OPP. SAI DHAM MANDIR, THAKUR VILLAGE, KANDIVALI EAST. 400101."/>
    <d v="2026-04-01T00:00:00"/>
    <s v="RM"/>
    <s v="Sales"/>
    <s v="Anita Thakkar"/>
    <s v="Thane"/>
    <s v="No"/>
    <s v="No"/>
    <n v="25000"/>
    <n v="30"/>
    <n v="3"/>
    <n v="27"/>
    <n v="833.33333333333337"/>
    <n v="22500"/>
    <n v="25000"/>
    <m/>
    <m/>
    <n v="25000"/>
    <n v="22500"/>
    <m/>
    <m/>
    <n v="350"/>
    <n v="22850"/>
    <n v="0"/>
    <n v="0"/>
    <n v="0"/>
    <m/>
    <n v="0"/>
    <n v="457"/>
    <m/>
    <n v="22393"/>
    <x v="1"/>
    <s v="Sales"/>
    <s v="KOTAK BANK"/>
    <s v="3446634907"/>
    <s v="KKBK0000633"/>
    <m/>
    <n v="0"/>
    <n v="0"/>
    <n v="0"/>
    <n v="0"/>
    <m/>
    <n v="0"/>
    <n v="0"/>
    <n v="0"/>
    <n v="0"/>
    <n v="22850"/>
    <m/>
    <m/>
    <m/>
    <m/>
    <m/>
    <m/>
    <m/>
    <m/>
  </r>
  <r>
    <n v="52"/>
    <m/>
    <s v="SNEHA GURUPRASAD VISHWAKARMA "/>
    <s v="NEW JOINEE"/>
    <s v="Female"/>
    <s v="24-05-2004"/>
    <s v="GURUPRASAD "/>
    <s v="Unmarried"/>
    <s v="CKMPV4140A"/>
    <s v="snehavishwakrma70@gmail.com"/>
    <n v="9967789323"/>
    <s v="4864 0530 5002"/>
    <s v="G-11, ROOM NO.5, PRABHAT CHAWL, DURGA WELFARE SOCIETY, AKURLI ROAD, KANDIVALI EAST 400101."/>
    <d v="2026-04-21T00:00:00"/>
    <s v="Tele Caller"/>
    <s v="Sales"/>
    <s v="Dhawal Upadhyay"/>
    <s v="Borivali"/>
    <s v="No"/>
    <s v="No"/>
    <n v="18000"/>
    <n v="30"/>
    <n v="20"/>
    <n v="10"/>
    <n v="600"/>
    <n v="6000"/>
    <n v="18000"/>
    <m/>
    <m/>
    <n v="18000"/>
    <n v="6000"/>
    <m/>
    <m/>
    <m/>
    <n v="6000"/>
    <n v="0"/>
    <m/>
    <m/>
    <m/>
    <m/>
    <n v="120"/>
    <m/>
    <n v="5880"/>
    <x v="1"/>
    <s v="Sales"/>
    <s v="KOTAK BANK"/>
    <s v="5547306554"/>
    <s v="KKBK0000633"/>
    <m/>
    <n v="0"/>
    <n v="0"/>
    <n v="0"/>
    <n v="0"/>
    <m/>
    <n v="0"/>
    <n v="0"/>
    <n v="0"/>
    <n v="0"/>
    <n v="6000"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7" firstHeaderRow="0" firstDataRow="1" firstDataCol="1"/>
  <pivotFields count="6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Leaves Gross Earning2" fld="34" baseField="43" baseItem="0"/>
    <dataField name="Sum of Net Payable" fld="42" baseField="4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mane.vaibhav73@gmail.com" TargetMode="External"/><Relationship Id="rId13" Type="http://schemas.openxmlformats.org/officeDocument/2006/relationships/hyperlink" Target="mailto:vinayadalvi1511@gmail.com" TargetMode="External"/><Relationship Id="rId18" Type="http://schemas.openxmlformats.org/officeDocument/2006/relationships/hyperlink" Target="mailto:javedmary201@gmail.com" TargetMode="External"/><Relationship Id="rId26" Type="http://schemas.openxmlformats.org/officeDocument/2006/relationships/hyperlink" Target="mailto:parthchate@yahoo.com" TargetMode="External"/><Relationship Id="rId3" Type="http://schemas.openxmlformats.org/officeDocument/2006/relationships/hyperlink" Target="mailto:dnyaneshwarikerekar@gmail.com" TargetMode="External"/><Relationship Id="rId21" Type="http://schemas.openxmlformats.org/officeDocument/2006/relationships/hyperlink" Target="mailto:mahendra.m@fineoteric.com" TargetMode="External"/><Relationship Id="rId7" Type="http://schemas.openxmlformats.org/officeDocument/2006/relationships/hyperlink" Target="mailto:mansigohil2002@gmail.com" TargetMode="External"/><Relationship Id="rId12" Type="http://schemas.openxmlformats.org/officeDocument/2006/relationships/hyperlink" Target="mailto:gohilmitesh1998@gmail.com" TargetMode="External"/><Relationship Id="rId17" Type="http://schemas.openxmlformats.org/officeDocument/2006/relationships/hyperlink" Target="mailto:aryan.belose854@gmail.com" TargetMode="External"/><Relationship Id="rId25" Type="http://schemas.openxmlformats.org/officeDocument/2006/relationships/hyperlink" Target="mailto:wadekarharshada00@gmail.com" TargetMode="External"/><Relationship Id="rId2" Type="http://schemas.openxmlformats.org/officeDocument/2006/relationships/hyperlink" Target="mailto:giteshdakshini11@gmail.com" TargetMode="External"/><Relationship Id="rId16" Type="http://schemas.openxmlformats.org/officeDocument/2006/relationships/hyperlink" Target="mailto:nisaag@gmail.com" TargetMode="External"/><Relationship Id="rId20" Type="http://schemas.openxmlformats.org/officeDocument/2006/relationships/hyperlink" Target="mailto:khushboogupta12mau@gmail.com" TargetMode="External"/><Relationship Id="rId1" Type="http://schemas.openxmlformats.org/officeDocument/2006/relationships/hyperlink" Target="mailto:Kartik143kadam@gmail.com" TargetMode="External"/><Relationship Id="rId6" Type="http://schemas.openxmlformats.org/officeDocument/2006/relationships/hyperlink" Target="mailto:priya.fineoteric@gmail.com" TargetMode="External"/><Relationship Id="rId11" Type="http://schemas.openxmlformats.org/officeDocument/2006/relationships/hyperlink" Target="mailto:alishashetye36@gmail.com" TargetMode="External"/><Relationship Id="rId24" Type="http://schemas.openxmlformats.org/officeDocument/2006/relationships/hyperlink" Target="mailto:siddhantmanve.com@gmail.com" TargetMode="External"/><Relationship Id="rId5" Type="http://schemas.openxmlformats.org/officeDocument/2006/relationships/hyperlink" Target="mailto:pankajrale19@gmail.com" TargetMode="External"/><Relationship Id="rId15" Type="http://schemas.openxmlformats.org/officeDocument/2006/relationships/hyperlink" Target="mailto:GARCHU025@GMAIL.COM" TargetMode="External"/><Relationship Id="rId23" Type="http://schemas.openxmlformats.org/officeDocument/2006/relationships/hyperlink" Target="mailto:Mariyalshetty29@gmail.com" TargetMode="External"/><Relationship Id="rId10" Type="http://schemas.openxmlformats.org/officeDocument/2006/relationships/hyperlink" Target="mailto:singhroshan3924@gmail.com" TargetMode="External"/><Relationship Id="rId19" Type="http://schemas.openxmlformats.org/officeDocument/2006/relationships/hyperlink" Target="mailto:hatekarsanjeevni@gmail.com" TargetMode="External"/><Relationship Id="rId4" Type="http://schemas.openxmlformats.org/officeDocument/2006/relationships/hyperlink" Target="mailto:Parul4024@gmail.com" TargetMode="External"/><Relationship Id="rId9" Type="http://schemas.openxmlformats.org/officeDocument/2006/relationships/hyperlink" Target="mailto:surekhaparab87@gmail.com" TargetMode="External"/><Relationship Id="rId14" Type="http://schemas.openxmlformats.org/officeDocument/2006/relationships/hyperlink" Target="mailto:anitaa.thakkar@gmail.com" TargetMode="External"/><Relationship Id="rId22" Type="http://schemas.openxmlformats.org/officeDocument/2006/relationships/hyperlink" Target="mailto:snehavishwakrma70@gmail.com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2:BO79"/>
  <sheetViews>
    <sheetView showGridLines="0" tabSelected="1" zoomScaleNormal="100" zoomScaleSheetLayoutView="100" workbookViewId="0">
      <pane xSplit="3" ySplit="7" topLeftCell="BE17" activePane="bottomRight" state="frozen"/>
      <selection pane="topRight" activeCell="D1" sqref="D1"/>
      <selection pane="bottomLeft" activeCell="A8" sqref="A8"/>
      <selection pane="bottomRight" activeCell="BK54" sqref="BK54"/>
    </sheetView>
  </sheetViews>
  <sheetFormatPr defaultColWidth="9.109375" defaultRowHeight="14.4" x14ac:dyDescent="0.3"/>
  <cols>
    <col min="1" max="1" width="9.44140625" style="28" bestFit="1" customWidth="1"/>
    <col min="2" max="2" width="10" style="28" bestFit="1" customWidth="1"/>
    <col min="3" max="3" width="38.109375" style="30" customWidth="1"/>
    <col min="4" max="4" width="37" style="28" customWidth="1"/>
    <col min="5" max="5" width="10" style="28" hidden="1" customWidth="1"/>
    <col min="6" max="6" width="15.6640625" style="5" hidden="1" customWidth="1"/>
    <col min="7" max="7" width="32.109375" style="30" hidden="1" customWidth="1"/>
    <col min="8" max="8" width="16.33203125" style="30" hidden="1" customWidth="1"/>
    <col min="9" max="9" width="13.44140625" style="30" hidden="1" customWidth="1"/>
    <col min="10" max="10" width="31.88671875" style="30" hidden="1" customWidth="1"/>
    <col min="11" max="11" width="23.88671875" style="30" hidden="1" customWidth="1"/>
    <col min="12" max="12" width="17.44140625" style="30" hidden="1" customWidth="1"/>
    <col min="13" max="13" width="115.44140625" style="30" hidden="1" customWidth="1"/>
    <col min="14" max="14" width="16.5546875" style="30" hidden="1" customWidth="1"/>
    <col min="15" max="15" width="26.88671875" style="30" hidden="1" customWidth="1"/>
    <col min="16" max="16" width="17.44140625" style="30" hidden="1" customWidth="1"/>
    <col min="17" max="17" width="26.109375" style="28" customWidth="1"/>
    <col min="18" max="18" width="15" style="28" customWidth="1"/>
    <col min="19" max="19" width="14.109375" style="28" customWidth="1"/>
    <col min="20" max="20" width="11.5546875" style="28" customWidth="1"/>
    <col min="21" max="21" width="14" style="28" customWidth="1"/>
    <col min="22" max="22" width="8.6640625" style="5" customWidth="1"/>
    <col min="23" max="23" width="11" style="5" customWidth="1"/>
    <col min="24" max="24" width="13.44140625" style="5" customWidth="1"/>
    <col min="25" max="25" width="11.6640625" style="28" customWidth="1"/>
    <col min="26" max="26" width="12.6640625" style="28" customWidth="1"/>
    <col min="27" max="27" width="11.33203125" style="28" customWidth="1"/>
    <col min="28" max="28" width="9.5546875" style="28" customWidth="1"/>
    <col min="29" max="29" width="12.6640625" style="28" customWidth="1"/>
    <col min="30" max="30" width="15.5546875" style="28" customWidth="1"/>
    <col min="31" max="31" width="11.5546875" style="30" customWidth="1"/>
    <col min="32" max="32" width="9.6640625" style="30" customWidth="1"/>
    <col min="33" max="33" width="17.44140625" style="30" customWidth="1"/>
    <col min="34" max="34" width="11.6640625" style="28" customWidth="1"/>
    <col min="35" max="35" width="13.109375" style="28" customWidth="1"/>
    <col min="36" max="36" width="7.33203125" style="28" customWidth="1"/>
    <col min="37" max="37" width="11.109375" style="28" customWidth="1"/>
    <col min="38" max="38" width="7.109375" style="28" customWidth="1"/>
    <col min="39" max="39" width="8.44140625" style="28" customWidth="1"/>
    <col min="40" max="40" width="9" style="28" customWidth="1"/>
    <col min="41" max="41" width="12.5546875" style="28" customWidth="1"/>
    <col min="42" max="42" width="10.88671875" style="28" customWidth="1"/>
    <col min="43" max="43" width="15.109375" style="28" customWidth="1"/>
    <col min="44" max="44" width="16.6640625" style="28" customWidth="1"/>
    <col min="45" max="45" width="14.109375" style="29" customWidth="1"/>
    <col min="46" max="46" width="25.33203125" style="29" customWidth="1"/>
    <col min="47" max="47" width="25.88671875" style="30" customWidth="1"/>
    <col min="48" max="48" width="14.33203125" style="29" customWidth="1"/>
    <col min="49" max="49" width="26.44140625" style="5" customWidth="1"/>
    <col min="50" max="50" width="22.33203125" style="28" customWidth="1"/>
    <col min="51" max="51" width="11.44140625" style="28" customWidth="1"/>
    <col min="52" max="52" width="11.88671875" style="28" customWidth="1"/>
    <col min="53" max="53" width="11" style="28" customWidth="1"/>
    <col min="54" max="54" width="9.5546875" style="28" customWidth="1"/>
    <col min="55" max="55" width="14.33203125" style="28" customWidth="1"/>
    <col min="56" max="56" width="11.6640625" style="28" customWidth="1"/>
    <col min="57" max="57" width="11.88671875" style="28" customWidth="1"/>
    <col min="58" max="58" width="9.6640625" style="28" customWidth="1"/>
    <col min="59" max="59" width="11.33203125" style="28" bestFit="1" customWidth="1"/>
    <col min="60" max="60" width="16.6640625" style="28" customWidth="1"/>
    <col min="61" max="61" width="11.33203125" style="28" customWidth="1"/>
    <col min="62" max="62" width="7.5546875" style="29" customWidth="1"/>
    <col min="63" max="63" width="13.109375" style="5" customWidth="1"/>
    <col min="64" max="64" width="19.5546875" style="29" bestFit="1" customWidth="1"/>
    <col min="65" max="65" width="28.44140625" style="30" customWidth="1"/>
    <col min="66" max="66" width="14.44140625" style="5" bestFit="1" customWidth="1"/>
    <col min="67" max="67" width="40.6640625" style="29" customWidth="1"/>
    <col min="68" max="16384" width="9.109375" style="28"/>
  </cols>
  <sheetData>
    <row r="2" spans="1:67" x14ac:dyDescent="0.3">
      <c r="C2" s="22" t="s">
        <v>461</v>
      </c>
      <c r="D2" s="29"/>
      <c r="AX2" s="23">
        <f>IF(AF2="YES",MIN(AR2*12%,1800),0)</f>
        <v>0</v>
      </c>
    </row>
    <row r="3" spans="1:67" ht="12.75" customHeight="1" x14ac:dyDescent="0.3">
      <c r="C3" s="22" t="s">
        <v>518</v>
      </c>
    </row>
    <row r="4" spans="1:67" x14ac:dyDescent="0.3">
      <c r="Z4" s="4"/>
      <c r="AK4" s="23"/>
    </row>
    <row r="5" spans="1:67" x14ac:dyDescent="0.3">
      <c r="BK5" s="35">
        <v>46111</v>
      </c>
    </row>
    <row r="6" spans="1:67" s="3" customFormat="1" x14ac:dyDescent="0.3">
      <c r="A6" s="33"/>
      <c r="B6" s="33"/>
      <c r="C6" s="85"/>
      <c r="D6" s="33"/>
      <c r="E6" s="33"/>
      <c r="F6" s="52"/>
      <c r="G6" s="44"/>
      <c r="H6" s="44"/>
      <c r="I6" s="44"/>
      <c r="J6" s="44"/>
      <c r="K6" s="44"/>
      <c r="L6" s="44"/>
      <c r="M6" s="44"/>
      <c r="N6" s="44"/>
      <c r="O6" s="44"/>
      <c r="P6" s="44"/>
      <c r="Q6" s="33"/>
      <c r="R6" s="33"/>
      <c r="S6" s="33"/>
      <c r="T6" s="33"/>
      <c r="U6" s="33"/>
      <c r="V6" s="86"/>
      <c r="W6" s="86"/>
      <c r="X6" s="86"/>
      <c r="Y6" s="33"/>
      <c r="Z6" s="33"/>
      <c r="AA6" s="120" t="s">
        <v>16</v>
      </c>
      <c r="AB6" s="120"/>
      <c r="AC6" s="120"/>
      <c r="AD6" s="120"/>
      <c r="AE6" s="121" t="s">
        <v>20</v>
      </c>
      <c r="AF6" s="121"/>
      <c r="AG6" s="121"/>
      <c r="AH6" s="120"/>
      <c r="AI6" s="120"/>
      <c r="AJ6" s="33"/>
      <c r="AK6" s="119" t="s">
        <v>22</v>
      </c>
      <c r="AL6" s="119"/>
      <c r="AM6" s="119"/>
      <c r="AN6" s="119"/>
      <c r="AO6" s="119"/>
      <c r="AP6" s="119"/>
      <c r="AQ6" s="33"/>
      <c r="AR6" s="33"/>
      <c r="AS6" s="84"/>
      <c r="AT6" s="84"/>
      <c r="AU6" s="85"/>
      <c r="AV6" s="84"/>
      <c r="AW6" s="86"/>
      <c r="AX6" s="119" t="s">
        <v>36</v>
      </c>
      <c r="AY6" s="119"/>
      <c r="AZ6" s="119"/>
      <c r="BA6" s="119"/>
      <c r="BB6" s="33"/>
      <c r="BC6" s="119" t="s">
        <v>37</v>
      </c>
      <c r="BD6" s="119"/>
      <c r="BE6" s="119"/>
      <c r="BF6" s="119"/>
      <c r="BG6" s="33"/>
      <c r="BH6" s="33"/>
      <c r="BI6" s="33"/>
      <c r="BJ6" s="84"/>
      <c r="BK6" s="86"/>
      <c r="BL6" s="84"/>
      <c r="BM6" s="85"/>
      <c r="BN6" s="86"/>
      <c r="BO6" s="84"/>
    </row>
    <row r="7" spans="1:67" s="24" customFormat="1" ht="34.5" customHeight="1" x14ac:dyDescent="0.3">
      <c r="A7" s="11" t="s">
        <v>86</v>
      </c>
      <c r="B7" s="11" t="s">
        <v>85</v>
      </c>
      <c r="C7" s="11" t="s">
        <v>0</v>
      </c>
      <c r="D7" s="11" t="s">
        <v>57</v>
      </c>
      <c r="E7" s="84" t="s">
        <v>32</v>
      </c>
      <c r="F7" s="86" t="s">
        <v>96</v>
      </c>
      <c r="G7" s="85" t="s">
        <v>97</v>
      </c>
      <c r="H7" s="85" t="s">
        <v>98</v>
      </c>
      <c r="I7" s="85" t="s">
        <v>33</v>
      </c>
      <c r="J7" s="85" t="s">
        <v>65</v>
      </c>
      <c r="K7" s="85" t="s">
        <v>66</v>
      </c>
      <c r="L7" s="85" t="s">
        <v>34</v>
      </c>
      <c r="M7" s="85" t="s">
        <v>35</v>
      </c>
      <c r="N7" s="12" t="s">
        <v>1</v>
      </c>
      <c r="O7" s="85" t="s">
        <v>2</v>
      </c>
      <c r="P7" s="85" t="s">
        <v>3</v>
      </c>
      <c r="Q7" s="11" t="s">
        <v>4</v>
      </c>
      <c r="R7" s="11" t="s">
        <v>5</v>
      </c>
      <c r="S7" s="11" t="s">
        <v>9</v>
      </c>
      <c r="T7" s="11" t="s">
        <v>10</v>
      </c>
      <c r="U7" s="84" t="s">
        <v>47</v>
      </c>
      <c r="V7" s="13" t="s">
        <v>6</v>
      </c>
      <c r="W7" s="13" t="s">
        <v>7</v>
      </c>
      <c r="X7" s="13" t="s">
        <v>8</v>
      </c>
      <c r="Y7" s="11" t="s">
        <v>11</v>
      </c>
      <c r="Z7" s="11" t="s">
        <v>12</v>
      </c>
      <c r="AA7" s="11" t="s">
        <v>13</v>
      </c>
      <c r="AB7" s="11" t="s">
        <v>14</v>
      </c>
      <c r="AC7" s="11" t="s">
        <v>15</v>
      </c>
      <c r="AD7" s="11" t="s">
        <v>90</v>
      </c>
      <c r="AE7" s="12" t="s">
        <v>17</v>
      </c>
      <c r="AF7" s="12" t="s">
        <v>14</v>
      </c>
      <c r="AG7" s="12" t="s">
        <v>18</v>
      </c>
      <c r="AH7" s="11" t="s">
        <v>19</v>
      </c>
      <c r="AI7" s="11" t="s">
        <v>90</v>
      </c>
      <c r="AJ7" s="11" t="s">
        <v>21</v>
      </c>
      <c r="AK7" s="11" t="s">
        <v>26</v>
      </c>
      <c r="AL7" s="11" t="s">
        <v>23</v>
      </c>
      <c r="AM7" s="11" t="s">
        <v>24</v>
      </c>
      <c r="AN7" s="11" t="s">
        <v>25</v>
      </c>
      <c r="AO7" s="11" t="s">
        <v>48</v>
      </c>
      <c r="AP7" s="11" t="s">
        <v>49</v>
      </c>
      <c r="AQ7" s="11" t="s">
        <v>50</v>
      </c>
      <c r="AR7" s="11" t="s">
        <v>307</v>
      </c>
      <c r="AS7" s="11" t="s">
        <v>27</v>
      </c>
      <c r="AT7" s="11" t="s">
        <v>67</v>
      </c>
      <c r="AU7" s="12" t="s">
        <v>28</v>
      </c>
      <c r="AV7" s="11" t="s">
        <v>29</v>
      </c>
      <c r="AW7" s="13" t="s">
        <v>493</v>
      </c>
      <c r="AX7" s="11" t="s">
        <v>51</v>
      </c>
      <c r="AY7" s="11" t="s">
        <v>52</v>
      </c>
      <c r="AZ7" s="11" t="s">
        <v>53</v>
      </c>
      <c r="BA7" s="11" t="s">
        <v>54</v>
      </c>
      <c r="BB7" s="11" t="s">
        <v>180</v>
      </c>
      <c r="BC7" s="11" t="s">
        <v>55</v>
      </c>
      <c r="BD7" s="11" t="s">
        <v>56</v>
      </c>
      <c r="BE7" s="11" t="s">
        <v>53</v>
      </c>
      <c r="BF7" s="11" t="s">
        <v>91</v>
      </c>
      <c r="BG7" s="11" t="s">
        <v>61</v>
      </c>
      <c r="BH7" s="14"/>
      <c r="BI7" s="11" t="s">
        <v>159</v>
      </c>
      <c r="BJ7" s="11" t="s">
        <v>122</v>
      </c>
      <c r="BK7" s="36" t="s">
        <v>165</v>
      </c>
      <c r="BL7" s="11" t="s">
        <v>162</v>
      </c>
      <c r="BM7" s="12" t="s">
        <v>57</v>
      </c>
      <c r="BN7" s="13" t="s">
        <v>279</v>
      </c>
      <c r="BO7" s="11" t="s">
        <v>280</v>
      </c>
    </row>
    <row r="8" spans="1:67" s="74" customFormat="1" ht="15" hidden="1" customHeight="1" x14ac:dyDescent="0.3">
      <c r="A8" s="62">
        <v>1</v>
      </c>
      <c r="B8" s="62" t="s">
        <v>498</v>
      </c>
      <c r="C8" s="62" t="s">
        <v>166</v>
      </c>
      <c r="D8" s="62" t="s">
        <v>566</v>
      </c>
      <c r="E8" s="48" t="s">
        <v>59</v>
      </c>
      <c r="F8" s="38">
        <v>34130</v>
      </c>
      <c r="G8" s="44" t="s">
        <v>104</v>
      </c>
      <c r="H8" s="44" t="s">
        <v>448</v>
      </c>
      <c r="I8" s="44" t="s">
        <v>70</v>
      </c>
      <c r="J8" s="44" t="s">
        <v>119</v>
      </c>
      <c r="K8" s="44">
        <v>9768616527</v>
      </c>
      <c r="L8" s="42" t="s">
        <v>71</v>
      </c>
      <c r="M8" s="44" t="s">
        <v>72</v>
      </c>
      <c r="N8" s="41">
        <v>43709</v>
      </c>
      <c r="O8" s="44" t="s">
        <v>94</v>
      </c>
      <c r="P8" s="44" t="s">
        <v>39</v>
      </c>
      <c r="Q8" s="62" t="s">
        <v>39</v>
      </c>
      <c r="R8" s="62" t="s">
        <v>42</v>
      </c>
      <c r="S8" s="62" t="s">
        <v>31</v>
      </c>
      <c r="T8" s="62" t="s">
        <v>30</v>
      </c>
      <c r="U8" s="67">
        <v>70000</v>
      </c>
      <c r="V8" s="68">
        <v>30</v>
      </c>
      <c r="W8" s="68">
        <v>0</v>
      </c>
      <c r="X8" s="68">
        <f t="shared" ref="X8:X25" si="0">+V8-W8</f>
        <v>30</v>
      </c>
      <c r="Y8" s="67">
        <f t="shared" ref="Y8:Y38" si="1">U8/V8</f>
        <v>2333.3333333333335</v>
      </c>
      <c r="Z8" s="67">
        <f t="shared" ref="Z8:Z38" si="2">X8*Y8</f>
        <v>70000</v>
      </c>
      <c r="AA8" s="67">
        <v>15000</v>
      </c>
      <c r="AB8" s="67">
        <f>+AA8*50%</f>
        <v>7500</v>
      </c>
      <c r="AC8" s="67">
        <f>+U8-AA8-AB8</f>
        <v>47500</v>
      </c>
      <c r="AD8" s="67">
        <f t="shared" ref="AD8:AD38" si="3">SUM(AA8:AC8)</f>
        <v>70000</v>
      </c>
      <c r="AE8" s="67">
        <f t="shared" ref="AE8:AE50" si="4">ROUND(AA8*$X8/$V8,0)</f>
        <v>15000</v>
      </c>
      <c r="AF8" s="67">
        <f t="shared" ref="AF8:AF50" si="5">ROUND(AB8*$X8/$V8,0)</f>
        <v>7500</v>
      </c>
      <c r="AG8" s="67">
        <f t="shared" ref="AG8:AG50" si="6">ROUND(AC8*$X8/$V8,0)</f>
        <v>47500</v>
      </c>
      <c r="AH8" s="67">
        <v>0</v>
      </c>
      <c r="AI8" s="67">
        <f t="shared" ref="AI8:AI38" si="7">SUM(AE8:AH8)</f>
        <v>70000</v>
      </c>
      <c r="AJ8" s="67">
        <f t="shared" ref="AJ8:AJ38" si="8">Z8-AI8+AH8</f>
        <v>0</v>
      </c>
      <c r="AK8" s="67">
        <f t="shared" ref="AK8:AK36" si="9">IF(S8="YES",MIN(AE8*12%,1800),0)</f>
        <v>1800</v>
      </c>
      <c r="AL8" s="67">
        <f t="shared" ref="AL8:AL36" si="10">IF(T8="YES",AI8*0.75%,0)</f>
        <v>0</v>
      </c>
      <c r="AM8" s="67">
        <f>IF((AI8)&gt;10000,200,IF((AI8)&gt;7500,175,0))</f>
        <v>200</v>
      </c>
      <c r="AN8" s="69">
        <v>0</v>
      </c>
      <c r="AO8" s="67">
        <v>0</v>
      </c>
      <c r="AP8" s="67"/>
      <c r="AQ8" s="67">
        <f t="shared" ref="AQ8:AQ38" si="11">ROUND(AI8-SUM(AK8:AP8),0)</f>
        <v>68000</v>
      </c>
      <c r="AR8" s="70" t="s">
        <v>197</v>
      </c>
      <c r="AS8" s="62" t="s">
        <v>38</v>
      </c>
      <c r="AT8" s="62" t="s">
        <v>178</v>
      </c>
      <c r="AU8" s="65" t="s">
        <v>186</v>
      </c>
      <c r="AV8" s="62" t="s">
        <v>182</v>
      </c>
      <c r="AW8" s="68" t="s">
        <v>692</v>
      </c>
      <c r="AX8" s="71">
        <f t="shared" ref="AX8:AX21" si="12">IF(S8="Yes",AE8,0)</f>
        <v>15000</v>
      </c>
      <c r="AY8" s="71">
        <f t="shared" ref="AY8:AY21" si="13">ROUND(AX8*12%,0)</f>
        <v>1800</v>
      </c>
      <c r="AZ8" s="71">
        <f t="shared" ref="AZ8:AZ21" si="14">AY8-BA8</f>
        <v>550</v>
      </c>
      <c r="BA8" s="71">
        <f t="shared" ref="BA8:BA21" si="15">ROUND(AX8*8.33%,0)</f>
        <v>1250</v>
      </c>
      <c r="BB8" s="71"/>
      <c r="BC8" s="71">
        <f t="shared" ref="BC8:BC21" si="16">IF(T8="Yes",AI8,0)</f>
        <v>0</v>
      </c>
      <c r="BD8" s="71">
        <f t="shared" ref="BD8:BD21" si="17">ROUNDUP(BC8*0.75%,0)</f>
        <v>0</v>
      </c>
      <c r="BE8" s="71">
        <f t="shared" ref="BE8:BE21" si="18">ROUND(BC8*3.25%,0)</f>
        <v>0</v>
      </c>
      <c r="BF8" s="71">
        <f t="shared" ref="BF8:BF21" si="19">BD8+BE8</f>
        <v>0</v>
      </c>
      <c r="BG8" s="71">
        <f t="shared" ref="BG8:BG38" si="20">+BE8+AY8+AI8</f>
        <v>71800</v>
      </c>
      <c r="BH8" s="71"/>
      <c r="BI8" s="71"/>
      <c r="BJ8" s="62"/>
      <c r="BK8" s="72">
        <f t="shared" ref="BK8:BK21" si="21">DATEDIF(N8,$BK$5,"M")</f>
        <v>78</v>
      </c>
      <c r="BL8" s="76" t="s">
        <v>309</v>
      </c>
      <c r="BM8" s="62" t="s">
        <v>160</v>
      </c>
      <c r="BN8" s="66">
        <v>45566</v>
      </c>
      <c r="BO8" s="62" t="s">
        <v>294</v>
      </c>
    </row>
    <row r="9" spans="1:67" s="74" customFormat="1" ht="16.5" hidden="1" customHeight="1" x14ac:dyDescent="0.3">
      <c r="A9" s="62">
        <v>2</v>
      </c>
      <c r="B9" s="62" t="s">
        <v>519</v>
      </c>
      <c r="C9" s="62" t="s">
        <v>170</v>
      </c>
      <c r="D9" s="62"/>
      <c r="E9" s="48" t="s">
        <v>60</v>
      </c>
      <c r="F9" s="38">
        <v>29748</v>
      </c>
      <c r="G9" s="44" t="s">
        <v>171</v>
      </c>
      <c r="H9" s="44" t="s">
        <v>100</v>
      </c>
      <c r="I9" s="44" t="s">
        <v>172</v>
      </c>
      <c r="J9" s="39" t="s">
        <v>173</v>
      </c>
      <c r="K9" s="44">
        <v>9987774024</v>
      </c>
      <c r="L9" s="44" t="s">
        <v>174</v>
      </c>
      <c r="M9" s="44" t="s">
        <v>175</v>
      </c>
      <c r="N9" s="41">
        <v>45414</v>
      </c>
      <c r="O9" s="44" t="s">
        <v>176</v>
      </c>
      <c r="P9" s="44" t="s">
        <v>39</v>
      </c>
      <c r="Q9" s="62" t="s">
        <v>39</v>
      </c>
      <c r="R9" s="62" t="s">
        <v>42</v>
      </c>
      <c r="S9" s="62" t="s">
        <v>30</v>
      </c>
      <c r="T9" s="62" t="s">
        <v>30</v>
      </c>
      <c r="U9" s="67">
        <v>15000</v>
      </c>
      <c r="V9" s="68">
        <v>30</v>
      </c>
      <c r="W9" s="68">
        <v>0</v>
      </c>
      <c r="X9" s="68">
        <f t="shared" si="0"/>
        <v>30</v>
      </c>
      <c r="Y9" s="67">
        <f t="shared" si="1"/>
        <v>500</v>
      </c>
      <c r="Z9" s="67">
        <f t="shared" si="2"/>
        <v>15000</v>
      </c>
      <c r="AA9" s="67">
        <v>15000</v>
      </c>
      <c r="AB9" s="67">
        <v>0</v>
      </c>
      <c r="AC9" s="67">
        <f>+U9-AA9-AB9</f>
        <v>0</v>
      </c>
      <c r="AD9" s="67">
        <f t="shared" si="3"/>
        <v>15000</v>
      </c>
      <c r="AE9" s="67">
        <f t="shared" si="4"/>
        <v>15000</v>
      </c>
      <c r="AF9" s="67">
        <f t="shared" si="5"/>
        <v>0</v>
      </c>
      <c r="AG9" s="67">
        <f t="shared" si="6"/>
        <v>0</v>
      </c>
      <c r="AH9" s="67"/>
      <c r="AI9" s="67">
        <f t="shared" si="7"/>
        <v>15000</v>
      </c>
      <c r="AJ9" s="67">
        <f t="shared" si="8"/>
        <v>0</v>
      </c>
      <c r="AK9" s="67">
        <f t="shared" si="9"/>
        <v>0</v>
      </c>
      <c r="AL9" s="67">
        <f t="shared" si="10"/>
        <v>0</v>
      </c>
      <c r="AM9" s="67">
        <f t="shared" ref="AM9:AM14" si="22">IF((AI9)&gt;25000,200,IF((AI9)&gt;7500,0,0))</f>
        <v>0</v>
      </c>
      <c r="AN9" s="69">
        <v>0</v>
      </c>
      <c r="AO9" s="67">
        <v>0</v>
      </c>
      <c r="AP9" s="67"/>
      <c r="AQ9" s="67">
        <f t="shared" si="11"/>
        <v>15000</v>
      </c>
      <c r="AR9" s="70" t="s">
        <v>197</v>
      </c>
      <c r="AS9" s="62" t="s">
        <v>38</v>
      </c>
      <c r="AT9" s="62" t="s">
        <v>178</v>
      </c>
      <c r="AU9" s="64" t="s">
        <v>289</v>
      </c>
      <c r="AV9" s="62" t="s">
        <v>182</v>
      </c>
      <c r="AW9" s="68" t="s">
        <v>693</v>
      </c>
      <c r="AX9" s="71">
        <f t="shared" si="12"/>
        <v>0</v>
      </c>
      <c r="AY9" s="71">
        <f t="shared" si="13"/>
        <v>0</v>
      </c>
      <c r="AZ9" s="71">
        <f t="shared" si="14"/>
        <v>0</v>
      </c>
      <c r="BA9" s="71">
        <f t="shared" si="15"/>
        <v>0</v>
      </c>
      <c r="BB9" s="71"/>
      <c r="BC9" s="71">
        <f t="shared" si="16"/>
        <v>0</v>
      </c>
      <c r="BD9" s="71">
        <f t="shared" si="17"/>
        <v>0</v>
      </c>
      <c r="BE9" s="71">
        <f t="shared" si="18"/>
        <v>0</v>
      </c>
      <c r="BF9" s="71">
        <f t="shared" si="19"/>
        <v>0</v>
      </c>
      <c r="BG9" s="71">
        <f t="shared" si="20"/>
        <v>15000</v>
      </c>
      <c r="BH9" s="71"/>
      <c r="BI9" s="71"/>
      <c r="BJ9" s="62"/>
      <c r="BK9" s="72">
        <f t="shared" si="21"/>
        <v>22</v>
      </c>
      <c r="BL9" s="62" t="e">
        <v>#N/A</v>
      </c>
      <c r="BM9" s="64"/>
      <c r="BN9" s="66">
        <v>45566</v>
      </c>
      <c r="BO9" s="62" t="s">
        <v>292</v>
      </c>
    </row>
    <row r="10" spans="1:67" s="74" customFormat="1" hidden="1" x14ac:dyDescent="0.3">
      <c r="A10" s="62">
        <v>3</v>
      </c>
      <c r="B10" s="62" t="s">
        <v>520</v>
      </c>
      <c r="C10" s="62" t="s">
        <v>192</v>
      </c>
      <c r="D10" s="62" t="s">
        <v>574</v>
      </c>
      <c r="E10" s="48" t="s">
        <v>60</v>
      </c>
      <c r="F10" s="38">
        <v>34611</v>
      </c>
      <c r="G10" s="44" t="s">
        <v>193</v>
      </c>
      <c r="H10" s="44" t="s">
        <v>100</v>
      </c>
      <c r="I10" s="44" t="s">
        <v>194</v>
      </c>
      <c r="J10" s="43" t="s">
        <v>195</v>
      </c>
      <c r="K10" s="44">
        <v>9930661769</v>
      </c>
      <c r="L10" s="40">
        <v>813028326819</v>
      </c>
      <c r="M10" s="44" t="s">
        <v>196</v>
      </c>
      <c r="N10" s="41">
        <v>44652</v>
      </c>
      <c r="O10" s="44" t="s">
        <v>447</v>
      </c>
      <c r="P10" s="44" t="s">
        <v>39</v>
      </c>
      <c r="Q10" s="62" t="s">
        <v>39</v>
      </c>
      <c r="R10" s="62" t="s">
        <v>42</v>
      </c>
      <c r="S10" s="62" t="s">
        <v>30</v>
      </c>
      <c r="T10" s="62" t="s">
        <v>30</v>
      </c>
      <c r="U10" s="67">
        <v>30000</v>
      </c>
      <c r="V10" s="68">
        <v>30</v>
      </c>
      <c r="W10" s="68">
        <v>3.5</v>
      </c>
      <c r="X10" s="68">
        <f t="shared" si="0"/>
        <v>26.5</v>
      </c>
      <c r="Y10" s="67">
        <f t="shared" si="1"/>
        <v>1000</v>
      </c>
      <c r="Z10" s="67">
        <f t="shared" si="2"/>
        <v>26500</v>
      </c>
      <c r="AA10" s="67">
        <v>20000</v>
      </c>
      <c r="AB10" s="67">
        <v>5000</v>
      </c>
      <c r="AC10" s="67">
        <f>+U10-AA10-AB10</f>
        <v>5000</v>
      </c>
      <c r="AD10" s="67">
        <f t="shared" si="3"/>
        <v>30000</v>
      </c>
      <c r="AE10" s="67">
        <f t="shared" si="4"/>
        <v>17667</v>
      </c>
      <c r="AF10" s="67">
        <f t="shared" si="5"/>
        <v>4417</v>
      </c>
      <c r="AG10" s="67">
        <f t="shared" si="6"/>
        <v>4417</v>
      </c>
      <c r="AH10" s="67"/>
      <c r="AI10" s="67">
        <f t="shared" si="7"/>
        <v>26501</v>
      </c>
      <c r="AJ10" s="67">
        <f t="shared" si="8"/>
        <v>-1</v>
      </c>
      <c r="AK10" s="67">
        <f t="shared" si="9"/>
        <v>0</v>
      </c>
      <c r="AL10" s="67">
        <f t="shared" si="10"/>
        <v>0</v>
      </c>
      <c r="AM10" s="67">
        <f t="shared" si="22"/>
        <v>200</v>
      </c>
      <c r="AN10" s="69">
        <v>0</v>
      </c>
      <c r="AO10" s="67">
        <v>0</v>
      </c>
      <c r="AP10" s="67"/>
      <c r="AQ10" s="67">
        <f t="shared" si="11"/>
        <v>26301</v>
      </c>
      <c r="AR10" s="70" t="s">
        <v>197</v>
      </c>
      <c r="AS10" s="62" t="s">
        <v>38</v>
      </c>
      <c r="AT10" s="62" t="s">
        <v>178</v>
      </c>
      <c r="AU10" s="75" t="s">
        <v>198</v>
      </c>
      <c r="AV10" s="62" t="s">
        <v>182</v>
      </c>
      <c r="AW10" s="68" t="s">
        <v>694</v>
      </c>
      <c r="AX10" s="71">
        <f t="shared" si="12"/>
        <v>0</v>
      </c>
      <c r="AY10" s="71">
        <f t="shared" si="13"/>
        <v>0</v>
      </c>
      <c r="AZ10" s="71">
        <f t="shared" si="14"/>
        <v>0</v>
      </c>
      <c r="BA10" s="71">
        <f t="shared" si="15"/>
        <v>0</v>
      </c>
      <c r="BB10" s="71"/>
      <c r="BC10" s="71">
        <f t="shared" si="16"/>
        <v>0</v>
      </c>
      <c r="BD10" s="71">
        <f t="shared" si="17"/>
        <v>0</v>
      </c>
      <c r="BE10" s="71">
        <f t="shared" si="18"/>
        <v>0</v>
      </c>
      <c r="BF10" s="71">
        <f t="shared" si="19"/>
        <v>0</v>
      </c>
      <c r="BG10" s="71">
        <f t="shared" si="20"/>
        <v>26501</v>
      </c>
      <c r="BH10" s="71"/>
      <c r="BI10" s="71"/>
      <c r="BJ10" s="62"/>
      <c r="BK10" s="72">
        <f t="shared" si="21"/>
        <v>47</v>
      </c>
      <c r="BL10" s="62" t="e">
        <v>#N/A</v>
      </c>
      <c r="BM10" s="64"/>
      <c r="BN10" s="66">
        <v>45383</v>
      </c>
      <c r="BO10" s="62" t="s">
        <v>295</v>
      </c>
    </row>
    <row r="11" spans="1:67" s="74" customFormat="1" ht="16.5" hidden="1" customHeight="1" x14ac:dyDescent="0.3">
      <c r="A11" s="62">
        <v>4</v>
      </c>
      <c r="B11" s="62" t="s">
        <v>521</v>
      </c>
      <c r="C11" s="62" t="s">
        <v>169</v>
      </c>
      <c r="D11" s="62" t="s">
        <v>573</v>
      </c>
      <c r="E11" s="48" t="s">
        <v>60</v>
      </c>
      <c r="F11" s="38">
        <v>29848</v>
      </c>
      <c r="G11" s="44" t="s">
        <v>103</v>
      </c>
      <c r="H11" s="44" t="s">
        <v>101</v>
      </c>
      <c r="I11" s="44" t="s">
        <v>81</v>
      </c>
      <c r="J11" s="39" t="s">
        <v>120</v>
      </c>
      <c r="K11" s="44">
        <v>9270527467</v>
      </c>
      <c r="L11" s="42" t="s">
        <v>83</v>
      </c>
      <c r="M11" s="44" t="s">
        <v>82</v>
      </c>
      <c r="N11" s="41">
        <v>43073</v>
      </c>
      <c r="O11" s="44" t="s">
        <v>497</v>
      </c>
      <c r="P11" s="44" t="s">
        <v>39</v>
      </c>
      <c r="Q11" s="62" t="s">
        <v>39</v>
      </c>
      <c r="R11" s="62" t="s">
        <v>42</v>
      </c>
      <c r="S11" s="62" t="s">
        <v>31</v>
      </c>
      <c r="T11" s="62" t="s">
        <v>31</v>
      </c>
      <c r="U11" s="67">
        <v>19000</v>
      </c>
      <c r="V11" s="68">
        <v>30</v>
      </c>
      <c r="W11" s="68">
        <v>0.5</v>
      </c>
      <c r="X11" s="68">
        <f t="shared" si="0"/>
        <v>29.5</v>
      </c>
      <c r="Y11" s="67">
        <f t="shared" si="1"/>
        <v>633.33333333333337</v>
      </c>
      <c r="Z11" s="67">
        <f t="shared" si="2"/>
        <v>18683.333333333336</v>
      </c>
      <c r="AA11" s="67">
        <v>13000</v>
      </c>
      <c r="AB11" s="67">
        <v>3000</v>
      </c>
      <c r="AC11" s="67">
        <v>3000</v>
      </c>
      <c r="AD11" s="67">
        <f t="shared" si="3"/>
        <v>19000</v>
      </c>
      <c r="AE11" s="67">
        <f t="shared" si="4"/>
        <v>12783</v>
      </c>
      <c r="AF11" s="67">
        <f t="shared" si="5"/>
        <v>2950</v>
      </c>
      <c r="AG11" s="67">
        <f t="shared" si="6"/>
        <v>2950</v>
      </c>
      <c r="AH11" s="67"/>
      <c r="AI11" s="67">
        <f t="shared" si="7"/>
        <v>18683</v>
      </c>
      <c r="AJ11" s="67">
        <f t="shared" si="8"/>
        <v>0.33333333333575865</v>
      </c>
      <c r="AK11" s="67">
        <f t="shared" si="9"/>
        <v>1533.96</v>
      </c>
      <c r="AL11" s="67">
        <f t="shared" si="10"/>
        <v>140.1225</v>
      </c>
      <c r="AM11" s="67">
        <f t="shared" si="22"/>
        <v>0</v>
      </c>
      <c r="AN11" s="69">
        <v>0</v>
      </c>
      <c r="AO11" s="67">
        <v>0</v>
      </c>
      <c r="AP11" s="67"/>
      <c r="AQ11" s="67">
        <f t="shared" si="11"/>
        <v>17009</v>
      </c>
      <c r="AR11" s="70" t="s">
        <v>197</v>
      </c>
      <c r="AS11" s="62" t="s">
        <v>38</v>
      </c>
      <c r="AT11" s="62" t="s">
        <v>178</v>
      </c>
      <c r="AU11" s="64" t="s">
        <v>184</v>
      </c>
      <c r="AV11" s="87" t="s">
        <v>182</v>
      </c>
      <c r="AW11" s="68" t="s">
        <v>695</v>
      </c>
      <c r="AX11" s="71">
        <f t="shared" si="12"/>
        <v>12783</v>
      </c>
      <c r="AY11" s="71">
        <f t="shared" si="13"/>
        <v>1534</v>
      </c>
      <c r="AZ11" s="71">
        <f t="shared" si="14"/>
        <v>469</v>
      </c>
      <c r="BA11" s="71">
        <f t="shared" si="15"/>
        <v>1065</v>
      </c>
      <c r="BB11" s="71"/>
      <c r="BC11" s="71">
        <f t="shared" si="16"/>
        <v>18683</v>
      </c>
      <c r="BD11" s="71">
        <f t="shared" si="17"/>
        <v>141</v>
      </c>
      <c r="BE11" s="71">
        <f t="shared" si="18"/>
        <v>607</v>
      </c>
      <c r="BF11" s="71">
        <f t="shared" si="19"/>
        <v>748</v>
      </c>
      <c r="BG11" s="71">
        <f t="shared" si="20"/>
        <v>20824</v>
      </c>
      <c r="BH11" s="71"/>
      <c r="BI11" s="71"/>
      <c r="BJ11" s="62"/>
      <c r="BK11" s="72">
        <f t="shared" si="21"/>
        <v>99</v>
      </c>
      <c r="BL11" s="76" t="s">
        <v>308</v>
      </c>
      <c r="BM11" s="64" t="s">
        <v>160</v>
      </c>
      <c r="BN11" s="66">
        <v>45566</v>
      </c>
      <c r="BO11" s="62" t="s">
        <v>294</v>
      </c>
    </row>
    <row r="12" spans="1:67" s="74" customFormat="1" ht="16.5" hidden="1" customHeight="1" x14ac:dyDescent="0.3">
      <c r="A12" s="62">
        <v>5</v>
      </c>
      <c r="B12" s="62" t="s">
        <v>522</v>
      </c>
      <c r="C12" s="62" t="s">
        <v>136</v>
      </c>
      <c r="D12" s="62" t="s">
        <v>573</v>
      </c>
      <c r="E12" s="48" t="s">
        <v>60</v>
      </c>
      <c r="F12" s="38">
        <v>36068</v>
      </c>
      <c r="G12" s="44" t="s">
        <v>137</v>
      </c>
      <c r="H12" s="44" t="s">
        <v>100</v>
      </c>
      <c r="I12" s="44" t="s">
        <v>138</v>
      </c>
      <c r="J12" s="39" t="s">
        <v>139</v>
      </c>
      <c r="K12" s="44" t="s">
        <v>140</v>
      </c>
      <c r="L12" s="40" t="s">
        <v>141</v>
      </c>
      <c r="M12" s="44" t="s">
        <v>142</v>
      </c>
      <c r="N12" s="41">
        <v>45275</v>
      </c>
      <c r="O12" s="44" t="s">
        <v>44</v>
      </c>
      <c r="P12" s="44" t="s">
        <v>123</v>
      </c>
      <c r="Q12" s="62" t="s">
        <v>95</v>
      </c>
      <c r="R12" s="62" t="s">
        <v>42</v>
      </c>
      <c r="S12" s="62" t="s">
        <v>30</v>
      </c>
      <c r="T12" s="62" t="s">
        <v>30</v>
      </c>
      <c r="U12" s="67">
        <v>18000</v>
      </c>
      <c r="V12" s="68">
        <v>30</v>
      </c>
      <c r="W12" s="68">
        <v>0.5</v>
      </c>
      <c r="X12" s="68">
        <f t="shared" si="0"/>
        <v>29.5</v>
      </c>
      <c r="Y12" s="67">
        <f t="shared" si="1"/>
        <v>600</v>
      </c>
      <c r="Z12" s="67">
        <f t="shared" si="2"/>
        <v>17700</v>
      </c>
      <c r="AA12" s="67">
        <f>+U12</f>
        <v>18000</v>
      </c>
      <c r="AB12" s="67">
        <v>0</v>
      </c>
      <c r="AC12" s="67">
        <f t="shared" ref="AC12:AC21" si="23">+U12-AA12-AB12</f>
        <v>0</v>
      </c>
      <c r="AD12" s="67">
        <f t="shared" si="3"/>
        <v>18000</v>
      </c>
      <c r="AE12" s="67">
        <f t="shared" si="4"/>
        <v>17700</v>
      </c>
      <c r="AF12" s="67">
        <f t="shared" si="5"/>
        <v>0</v>
      </c>
      <c r="AG12" s="67">
        <f t="shared" si="6"/>
        <v>0</v>
      </c>
      <c r="AH12" s="67"/>
      <c r="AI12" s="67">
        <f t="shared" si="7"/>
        <v>17700</v>
      </c>
      <c r="AJ12" s="67">
        <f t="shared" si="8"/>
        <v>0</v>
      </c>
      <c r="AK12" s="67">
        <f t="shared" si="9"/>
        <v>0</v>
      </c>
      <c r="AL12" s="67">
        <f t="shared" si="10"/>
        <v>0</v>
      </c>
      <c r="AM12" s="67">
        <f t="shared" si="22"/>
        <v>0</v>
      </c>
      <c r="AN12" s="69">
        <v>0</v>
      </c>
      <c r="AO12" s="67">
        <v>0</v>
      </c>
      <c r="AP12" s="67"/>
      <c r="AQ12" s="67">
        <f t="shared" si="11"/>
        <v>17700</v>
      </c>
      <c r="AR12" s="70" t="s">
        <v>197</v>
      </c>
      <c r="AS12" s="62" t="s">
        <v>38</v>
      </c>
      <c r="AT12" s="62" t="s">
        <v>178</v>
      </c>
      <c r="AU12" s="65" t="s">
        <v>185</v>
      </c>
      <c r="AV12" s="62" t="s">
        <v>182</v>
      </c>
      <c r="AW12" s="68" t="s">
        <v>696</v>
      </c>
      <c r="AX12" s="71">
        <f t="shared" si="12"/>
        <v>0</v>
      </c>
      <c r="AY12" s="71">
        <f t="shared" si="13"/>
        <v>0</v>
      </c>
      <c r="AZ12" s="71">
        <f t="shared" si="14"/>
        <v>0</v>
      </c>
      <c r="BA12" s="71">
        <f t="shared" si="15"/>
        <v>0</v>
      </c>
      <c r="BB12" s="71"/>
      <c r="BC12" s="71">
        <f t="shared" si="16"/>
        <v>0</v>
      </c>
      <c r="BD12" s="71">
        <f t="shared" si="17"/>
        <v>0</v>
      </c>
      <c r="BE12" s="71">
        <f t="shared" si="18"/>
        <v>0</v>
      </c>
      <c r="BF12" s="71">
        <f t="shared" si="19"/>
        <v>0</v>
      </c>
      <c r="BG12" s="71">
        <f t="shared" si="20"/>
        <v>17700</v>
      </c>
      <c r="BH12" s="71"/>
      <c r="BI12" s="71"/>
      <c r="BJ12" s="62"/>
      <c r="BK12" s="72">
        <f t="shared" si="21"/>
        <v>27</v>
      </c>
      <c r="BL12" s="62" t="e">
        <v>#N/A</v>
      </c>
      <c r="BM12" s="64"/>
      <c r="BN12" s="66">
        <v>45566</v>
      </c>
      <c r="BO12" s="62" t="s">
        <v>293</v>
      </c>
    </row>
    <row r="13" spans="1:67" s="74" customFormat="1" ht="16.5" hidden="1" customHeight="1" x14ac:dyDescent="0.3">
      <c r="A13" s="62">
        <v>6</v>
      </c>
      <c r="B13" s="62" t="s">
        <v>523</v>
      </c>
      <c r="C13" s="64" t="s">
        <v>683</v>
      </c>
      <c r="D13" s="62" t="s">
        <v>575</v>
      </c>
      <c r="E13" s="48" t="s">
        <v>60</v>
      </c>
      <c r="F13" s="38">
        <v>35059</v>
      </c>
      <c r="G13" s="44" t="s">
        <v>105</v>
      </c>
      <c r="H13" s="44" t="s">
        <v>101</v>
      </c>
      <c r="I13" s="44" t="s">
        <v>87</v>
      </c>
      <c r="J13" s="44" t="s">
        <v>121</v>
      </c>
      <c r="K13" s="44">
        <v>8779433745</v>
      </c>
      <c r="L13" s="42" t="s">
        <v>88</v>
      </c>
      <c r="M13" s="44" t="s">
        <v>89</v>
      </c>
      <c r="N13" s="41">
        <v>44593</v>
      </c>
      <c r="O13" s="44" t="s">
        <v>93</v>
      </c>
      <c r="P13" s="44" t="s">
        <v>38</v>
      </c>
      <c r="Q13" s="62" t="s">
        <v>95</v>
      </c>
      <c r="R13" s="62" t="s">
        <v>43</v>
      </c>
      <c r="S13" s="62" t="s">
        <v>31</v>
      </c>
      <c r="T13" s="62" t="s">
        <v>30</v>
      </c>
      <c r="U13" s="67">
        <v>54000</v>
      </c>
      <c r="V13" s="68">
        <v>30</v>
      </c>
      <c r="W13" s="68">
        <v>2</v>
      </c>
      <c r="X13" s="68">
        <f t="shared" si="0"/>
        <v>28</v>
      </c>
      <c r="Y13" s="67">
        <f t="shared" si="1"/>
        <v>1800</v>
      </c>
      <c r="Z13" s="67">
        <f t="shared" si="2"/>
        <v>50400</v>
      </c>
      <c r="AA13" s="67">
        <v>15000</v>
      </c>
      <c r="AB13" s="67">
        <f>+AA13/2</f>
        <v>7500</v>
      </c>
      <c r="AC13" s="67">
        <f t="shared" si="23"/>
        <v>31500</v>
      </c>
      <c r="AD13" s="67">
        <f t="shared" si="3"/>
        <v>54000</v>
      </c>
      <c r="AE13" s="67">
        <f t="shared" si="4"/>
        <v>14000</v>
      </c>
      <c r="AF13" s="67">
        <f t="shared" si="5"/>
        <v>7000</v>
      </c>
      <c r="AG13" s="67">
        <f t="shared" si="6"/>
        <v>29400</v>
      </c>
      <c r="AH13" s="67"/>
      <c r="AI13" s="67">
        <f t="shared" si="7"/>
        <v>50400</v>
      </c>
      <c r="AJ13" s="67">
        <f t="shared" si="8"/>
        <v>0</v>
      </c>
      <c r="AK13" s="67">
        <f t="shared" si="9"/>
        <v>1680</v>
      </c>
      <c r="AL13" s="67">
        <f t="shared" si="10"/>
        <v>0</v>
      </c>
      <c r="AM13" s="67">
        <f t="shared" si="22"/>
        <v>200</v>
      </c>
      <c r="AN13" s="69">
        <v>0</v>
      </c>
      <c r="AO13" s="67">
        <v>0</v>
      </c>
      <c r="AP13" s="67"/>
      <c r="AQ13" s="67">
        <f t="shared" si="11"/>
        <v>48520</v>
      </c>
      <c r="AR13" s="70" t="s">
        <v>197</v>
      </c>
      <c r="AS13" s="62" t="s">
        <v>38</v>
      </c>
      <c r="AT13" s="62" t="s">
        <v>178</v>
      </c>
      <c r="AU13" s="75" t="s">
        <v>190</v>
      </c>
      <c r="AV13" s="62" t="s">
        <v>182</v>
      </c>
      <c r="AW13" s="68" t="s">
        <v>697</v>
      </c>
      <c r="AX13" s="71">
        <f t="shared" si="12"/>
        <v>14000</v>
      </c>
      <c r="AY13" s="71">
        <f t="shared" si="13"/>
        <v>1680</v>
      </c>
      <c r="AZ13" s="71">
        <f t="shared" si="14"/>
        <v>514</v>
      </c>
      <c r="BA13" s="71">
        <f t="shared" si="15"/>
        <v>1166</v>
      </c>
      <c r="BB13" s="71"/>
      <c r="BC13" s="71">
        <f t="shared" si="16"/>
        <v>0</v>
      </c>
      <c r="BD13" s="71">
        <f t="shared" si="17"/>
        <v>0</v>
      </c>
      <c r="BE13" s="71">
        <f t="shared" si="18"/>
        <v>0</v>
      </c>
      <c r="BF13" s="71">
        <f t="shared" si="19"/>
        <v>0</v>
      </c>
      <c r="BG13" s="71">
        <f t="shared" si="20"/>
        <v>52080</v>
      </c>
      <c r="BH13" s="71"/>
      <c r="BI13" s="71"/>
      <c r="BJ13" s="62"/>
      <c r="BK13" s="72">
        <f t="shared" si="21"/>
        <v>49</v>
      </c>
      <c r="BL13" s="76" t="s">
        <v>296</v>
      </c>
      <c r="BM13" s="64" t="s">
        <v>161</v>
      </c>
      <c r="BN13" s="68" t="s">
        <v>298</v>
      </c>
      <c r="BO13" s="62" t="s">
        <v>291</v>
      </c>
    </row>
    <row r="14" spans="1:67" s="74" customFormat="1" hidden="1" x14ac:dyDescent="0.3">
      <c r="A14" s="62">
        <v>7</v>
      </c>
      <c r="B14" s="62" t="s">
        <v>524</v>
      </c>
      <c r="C14" s="62" t="s">
        <v>154</v>
      </c>
      <c r="D14" s="62" t="s">
        <v>566</v>
      </c>
      <c r="E14" s="48" t="s">
        <v>60</v>
      </c>
      <c r="F14" s="38">
        <v>36420</v>
      </c>
      <c r="G14" s="44" t="s">
        <v>155</v>
      </c>
      <c r="H14" s="44" t="s">
        <v>100</v>
      </c>
      <c r="I14" s="44" t="s">
        <v>156</v>
      </c>
      <c r="J14" s="39" t="s">
        <v>157</v>
      </c>
      <c r="K14" s="44">
        <v>9869729437</v>
      </c>
      <c r="L14" s="40">
        <v>814968987271</v>
      </c>
      <c r="M14" s="44" t="s">
        <v>158</v>
      </c>
      <c r="N14" s="41">
        <v>44672</v>
      </c>
      <c r="O14" s="44" t="s">
        <v>131</v>
      </c>
      <c r="P14" s="44" t="s">
        <v>123</v>
      </c>
      <c r="Q14" s="62" t="s">
        <v>95</v>
      </c>
      <c r="R14" s="62" t="s">
        <v>42</v>
      </c>
      <c r="S14" s="62" t="s">
        <v>30</v>
      </c>
      <c r="T14" s="62" t="s">
        <v>30</v>
      </c>
      <c r="U14" s="67">
        <v>20000</v>
      </c>
      <c r="V14" s="68">
        <v>30</v>
      </c>
      <c r="W14" s="68">
        <v>0</v>
      </c>
      <c r="X14" s="68">
        <f t="shared" si="0"/>
        <v>30</v>
      </c>
      <c r="Y14" s="67">
        <f t="shared" si="1"/>
        <v>666.66666666666663</v>
      </c>
      <c r="Z14" s="67">
        <f t="shared" si="2"/>
        <v>20000</v>
      </c>
      <c r="AA14" s="67">
        <v>16000</v>
      </c>
      <c r="AB14" s="67">
        <v>0</v>
      </c>
      <c r="AC14" s="67">
        <f t="shared" si="23"/>
        <v>4000</v>
      </c>
      <c r="AD14" s="67">
        <f t="shared" si="3"/>
        <v>20000</v>
      </c>
      <c r="AE14" s="67">
        <f t="shared" si="4"/>
        <v>16000</v>
      </c>
      <c r="AF14" s="67">
        <f t="shared" si="5"/>
        <v>0</v>
      </c>
      <c r="AG14" s="67">
        <f t="shared" si="6"/>
        <v>4000</v>
      </c>
      <c r="AH14" s="67"/>
      <c r="AI14" s="67">
        <f t="shared" si="7"/>
        <v>20000</v>
      </c>
      <c r="AJ14" s="67">
        <f t="shared" si="8"/>
        <v>0</v>
      </c>
      <c r="AK14" s="67">
        <f t="shared" si="9"/>
        <v>0</v>
      </c>
      <c r="AL14" s="67">
        <f t="shared" si="10"/>
        <v>0</v>
      </c>
      <c r="AM14" s="67">
        <f t="shared" si="22"/>
        <v>0</v>
      </c>
      <c r="AN14" s="69">
        <v>0</v>
      </c>
      <c r="AO14" s="67">
        <v>0</v>
      </c>
      <c r="AP14" s="67"/>
      <c r="AQ14" s="67">
        <f t="shared" si="11"/>
        <v>20000</v>
      </c>
      <c r="AR14" s="70" t="s">
        <v>197</v>
      </c>
      <c r="AS14" s="62" t="s">
        <v>38</v>
      </c>
      <c r="AT14" s="62" t="s">
        <v>178</v>
      </c>
      <c r="AU14" s="75" t="s">
        <v>183</v>
      </c>
      <c r="AV14" s="62" t="s">
        <v>182</v>
      </c>
      <c r="AW14" s="68" t="s">
        <v>698</v>
      </c>
      <c r="AX14" s="71">
        <f t="shared" si="12"/>
        <v>0</v>
      </c>
      <c r="AY14" s="71">
        <f t="shared" si="13"/>
        <v>0</v>
      </c>
      <c r="AZ14" s="71">
        <f t="shared" si="14"/>
        <v>0</v>
      </c>
      <c r="BA14" s="71">
        <f t="shared" si="15"/>
        <v>0</v>
      </c>
      <c r="BB14" s="71"/>
      <c r="BC14" s="71">
        <f t="shared" si="16"/>
        <v>0</v>
      </c>
      <c r="BD14" s="71">
        <f t="shared" si="17"/>
        <v>0</v>
      </c>
      <c r="BE14" s="71">
        <f t="shared" si="18"/>
        <v>0</v>
      </c>
      <c r="BF14" s="71">
        <f t="shared" si="19"/>
        <v>0</v>
      </c>
      <c r="BG14" s="71">
        <f t="shared" si="20"/>
        <v>20000</v>
      </c>
      <c r="BH14" s="71"/>
      <c r="BI14" s="71"/>
      <c r="BJ14" s="62"/>
      <c r="BK14" s="72">
        <f t="shared" si="21"/>
        <v>47</v>
      </c>
      <c r="BL14" s="62" t="e">
        <v>#N/A</v>
      </c>
      <c r="BM14" s="64"/>
      <c r="BN14" s="66">
        <v>45566</v>
      </c>
      <c r="BO14" s="62" t="s">
        <v>292</v>
      </c>
    </row>
    <row r="15" spans="1:67" s="74" customFormat="1" hidden="1" x14ac:dyDescent="0.3">
      <c r="A15" s="62">
        <v>8</v>
      </c>
      <c r="B15" s="62" t="s">
        <v>525</v>
      </c>
      <c r="C15" s="62" t="s">
        <v>124</v>
      </c>
      <c r="D15" s="62"/>
      <c r="E15" s="62" t="s">
        <v>59</v>
      </c>
      <c r="F15" s="63">
        <v>26601</v>
      </c>
      <c r="G15" s="64" t="s">
        <v>125</v>
      </c>
      <c r="H15" s="64" t="s">
        <v>101</v>
      </c>
      <c r="I15" s="64" t="s">
        <v>126</v>
      </c>
      <c r="J15" s="64" t="s">
        <v>112</v>
      </c>
      <c r="K15" s="64">
        <v>9619102717</v>
      </c>
      <c r="L15" s="88">
        <v>704969325031</v>
      </c>
      <c r="M15" s="64" t="s">
        <v>127</v>
      </c>
      <c r="N15" s="66">
        <v>44447</v>
      </c>
      <c r="O15" s="89" t="s">
        <v>128</v>
      </c>
      <c r="P15" s="64" t="s">
        <v>39</v>
      </c>
      <c r="Q15" s="62" t="s">
        <v>179</v>
      </c>
      <c r="R15" s="62" t="s">
        <v>42</v>
      </c>
      <c r="S15" s="62" t="s">
        <v>30</v>
      </c>
      <c r="T15" s="62" t="s">
        <v>30</v>
      </c>
      <c r="U15" s="67">
        <v>11000</v>
      </c>
      <c r="V15" s="68">
        <v>30</v>
      </c>
      <c r="W15" s="68">
        <v>0</v>
      </c>
      <c r="X15" s="68">
        <f t="shared" si="0"/>
        <v>30</v>
      </c>
      <c r="Y15" s="67">
        <f t="shared" si="1"/>
        <v>366.66666666666669</v>
      </c>
      <c r="Z15" s="67">
        <f t="shared" si="2"/>
        <v>11000</v>
      </c>
      <c r="AA15" s="67">
        <f>+U15</f>
        <v>11000</v>
      </c>
      <c r="AB15" s="67">
        <v>0</v>
      </c>
      <c r="AC15" s="67">
        <f t="shared" si="23"/>
        <v>0</v>
      </c>
      <c r="AD15" s="67">
        <f t="shared" si="3"/>
        <v>11000</v>
      </c>
      <c r="AE15" s="67">
        <f t="shared" si="4"/>
        <v>11000</v>
      </c>
      <c r="AF15" s="67">
        <f t="shared" si="5"/>
        <v>0</v>
      </c>
      <c r="AG15" s="67">
        <f t="shared" si="6"/>
        <v>0</v>
      </c>
      <c r="AH15" s="67"/>
      <c r="AI15" s="67">
        <f t="shared" si="7"/>
        <v>11000</v>
      </c>
      <c r="AJ15" s="67">
        <f t="shared" si="8"/>
        <v>0</v>
      </c>
      <c r="AK15" s="67">
        <f t="shared" si="9"/>
        <v>0</v>
      </c>
      <c r="AL15" s="67">
        <f t="shared" si="10"/>
        <v>0</v>
      </c>
      <c r="AM15" s="67">
        <f>IF((AI15)&gt;10000,200,IF((AI15)&gt;7500,175,0))</f>
        <v>200</v>
      </c>
      <c r="AN15" s="69">
        <v>0</v>
      </c>
      <c r="AO15" s="67">
        <v>0</v>
      </c>
      <c r="AP15" s="67">
        <v>1000</v>
      </c>
      <c r="AQ15" s="67">
        <f t="shared" si="11"/>
        <v>9800</v>
      </c>
      <c r="AR15" s="70" t="s">
        <v>197</v>
      </c>
      <c r="AS15" s="62" t="s">
        <v>38</v>
      </c>
      <c r="AT15" s="62" t="s">
        <v>113</v>
      </c>
      <c r="AU15" s="75" t="s">
        <v>129</v>
      </c>
      <c r="AV15" s="62" t="s">
        <v>130</v>
      </c>
      <c r="AW15" s="68" t="s">
        <v>699</v>
      </c>
      <c r="AX15" s="71">
        <f t="shared" si="12"/>
        <v>0</v>
      </c>
      <c r="AY15" s="71">
        <f t="shared" si="13"/>
        <v>0</v>
      </c>
      <c r="AZ15" s="71">
        <f t="shared" si="14"/>
        <v>0</v>
      </c>
      <c r="BA15" s="71">
        <f t="shared" si="15"/>
        <v>0</v>
      </c>
      <c r="BB15" s="71"/>
      <c r="BC15" s="71">
        <f t="shared" si="16"/>
        <v>0</v>
      </c>
      <c r="BD15" s="71">
        <f t="shared" si="17"/>
        <v>0</v>
      </c>
      <c r="BE15" s="71">
        <f t="shared" si="18"/>
        <v>0</v>
      </c>
      <c r="BF15" s="71">
        <f t="shared" si="19"/>
        <v>0</v>
      </c>
      <c r="BG15" s="71">
        <f t="shared" si="20"/>
        <v>11000</v>
      </c>
      <c r="BH15" s="71"/>
      <c r="BI15" s="71"/>
      <c r="BJ15" s="62"/>
      <c r="BK15" s="72">
        <f t="shared" si="21"/>
        <v>54</v>
      </c>
      <c r="BL15" s="62" t="e">
        <v>#N/A</v>
      </c>
      <c r="BM15" s="62"/>
      <c r="BN15" s="66">
        <v>45566</v>
      </c>
      <c r="BO15" s="62" t="s">
        <v>293</v>
      </c>
    </row>
    <row r="16" spans="1:67" s="74" customFormat="1" ht="16.5" hidden="1" customHeight="1" x14ac:dyDescent="0.3">
      <c r="A16" s="62">
        <v>9</v>
      </c>
      <c r="B16" s="62" t="s">
        <v>526</v>
      </c>
      <c r="C16" s="62" t="s">
        <v>217</v>
      </c>
      <c r="D16" s="62" t="s">
        <v>218</v>
      </c>
      <c r="E16" s="48" t="s">
        <v>60</v>
      </c>
      <c r="F16" s="38">
        <v>38754</v>
      </c>
      <c r="G16" s="44" t="s">
        <v>302</v>
      </c>
      <c r="H16" s="44" t="s">
        <v>100</v>
      </c>
      <c r="I16" s="44" t="s">
        <v>303</v>
      </c>
      <c r="J16" s="44" t="s">
        <v>219</v>
      </c>
      <c r="K16" s="44" t="s">
        <v>306</v>
      </c>
      <c r="L16" s="44" t="s">
        <v>304</v>
      </c>
      <c r="M16" s="44" t="s">
        <v>305</v>
      </c>
      <c r="N16" s="41">
        <v>45566</v>
      </c>
      <c r="O16" s="44" t="s">
        <v>220</v>
      </c>
      <c r="P16" s="44" t="s">
        <v>214</v>
      </c>
      <c r="Q16" s="62" t="s">
        <v>218</v>
      </c>
      <c r="R16" s="62" t="s">
        <v>42</v>
      </c>
      <c r="S16" s="62" t="s">
        <v>30</v>
      </c>
      <c r="T16" s="62" t="s">
        <v>30</v>
      </c>
      <c r="U16" s="67">
        <v>31000</v>
      </c>
      <c r="V16" s="68">
        <v>30</v>
      </c>
      <c r="W16" s="68">
        <v>0</v>
      </c>
      <c r="X16" s="72">
        <f t="shared" si="0"/>
        <v>30</v>
      </c>
      <c r="Y16" s="67">
        <f t="shared" si="1"/>
        <v>1033.3333333333333</v>
      </c>
      <c r="Z16" s="67">
        <f t="shared" si="2"/>
        <v>30999.999999999996</v>
      </c>
      <c r="AA16" s="67">
        <v>20000</v>
      </c>
      <c r="AB16" s="67">
        <v>5000</v>
      </c>
      <c r="AC16" s="67">
        <f t="shared" si="23"/>
        <v>6000</v>
      </c>
      <c r="AD16" s="67">
        <f t="shared" si="3"/>
        <v>31000</v>
      </c>
      <c r="AE16" s="67">
        <f t="shared" si="4"/>
        <v>20000</v>
      </c>
      <c r="AF16" s="67">
        <f t="shared" si="5"/>
        <v>5000</v>
      </c>
      <c r="AG16" s="67">
        <f t="shared" si="6"/>
        <v>6000</v>
      </c>
      <c r="AH16" s="67"/>
      <c r="AI16" s="67">
        <f t="shared" si="7"/>
        <v>31000</v>
      </c>
      <c r="AJ16" s="67">
        <f t="shared" si="8"/>
        <v>-3.637978807091713E-12</v>
      </c>
      <c r="AK16" s="67">
        <f t="shared" si="9"/>
        <v>0</v>
      </c>
      <c r="AL16" s="67">
        <f t="shared" si="10"/>
        <v>0</v>
      </c>
      <c r="AM16" s="67">
        <f>IF((AI16)&gt;25000,200,IF((AI16)&gt;7500,0,0))</f>
        <v>200</v>
      </c>
      <c r="AN16" s="69">
        <v>0</v>
      </c>
      <c r="AO16" s="67">
        <v>0</v>
      </c>
      <c r="AP16" s="67"/>
      <c r="AQ16" s="67">
        <f t="shared" si="11"/>
        <v>30800</v>
      </c>
      <c r="AR16" s="70" t="s">
        <v>197</v>
      </c>
      <c r="AS16" s="62" t="s">
        <v>214</v>
      </c>
      <c r="AT16" s="62" t="s">
        <v>178</v>
      </c>
      <c r="AU16" s="65" t="s">
        <v>221</v>
      </c>
      <c r="AV16" s="62" t="s">
        <v>182</v>
      </c>
      <c r="AW16" s="68" t="s">
        <v>700</v>
      </c>
      <c r="AX16" s="71">
        <f t="shared" si="12"/>
        <v>0</v>
      </c>
      <c r="AY16" s="71">
        <f t="shared" si="13"/>
        <v>0</v>
      </c>
      <c r="AZ16" s="71">
        <f t="shared" si="14"/>
        <v>0</v>
      </c>
      <c r="BA16" s="71">
        <f t="shared" si="15"/>
        <v>0</v>
      </c>
      <c r="BB16" s="71"/>
      <c r="BC16" s="71">
        <f t="shared" si="16"/>
        <v>0</v>
      </c>
      <c r="BD16" s="71">
        <f t="shared" si="17"/>
        <v>0</v>
      </c>
      <c r="BE16" s="71">
        <f t="shared" si="18"/>
        <v>0</v>
      </c>
      <c r="BF16" s="71">
        <f t="shared" si="19"/>
        <v>0</v>
      </c>
      <c r="BG16" s="71">
        <f t="shared" si="20"/>
        <v>31000</v>
      </c>
      <c r="BH16" s="71"/>
      <c r="BI16" s="71"/>
      <c r="BJ16" s="62"/>
      <c r="BK16" s="72">
        <f t="shared" si="21"/>
        <v>17</v>
      </c>
      <c r="BL16" s="62" t="s">
        <v>222</v>
      </c>
      <c r="BM16" s="64" t="s">
        <v>222</v>
      </c>
      <c r="BN16" s="66">
        <v>45566</v>
      </c>
      <c r="BO16" s="62" t="s">
        <v>295</v>
      </c>
    </row>
    <row r="17" spans="1:67" s="74" customFormat="1" ht="15" customHeight="1" x14ac:dyDescent="0.3">
      <c r="A17" s="62">
        <v>10</v>
      </c>
      <c r="B17" s="62" t="s">
        <v>527</v>
      </c>
      <c r="C17" s="62" t="s">
        <v>332</v>
      </c>
      <c r="D17" s="62" t="s">
        <v>603</v>
      </c>
      <c r="E17" s="48" t="s">
        <v>60</v>
      </c>
      <c r="F17" s="38">
        <v>37258</v>
      </c>
      <c r="G17" s="44" t="s">
        <v>333</v>
      </c>
      <c r="H17" s="44" t="s">
        <v>100</v>
      </c>
      <c r="I17" s="64" t="s">
        <v>334</v>
      </c>
      <c r="J17" s="45" t="s">
        <v>335</v>
      </c>
      <c r="K17" s="44">
        <v>8317210394</v>
      </c>
      <c r="L17" s="46" t="s">
        <v>336</v>
      </c>
      <c r="M17" s="44" t="s">
        <v>337</v>
      </c>
      <c r="N17" s="41">
        <v>44739</v>
      </c>
      <c r="O17" s="44" t="s">
        <v>224</v>
      </c>
      <c r="P17" s="44" t="s">
        <v>214</v>
      </c>
      <c r="Q17" s="62" t="s">
        <v>218</v>
      </c>
      <c r="R17" s="62" t="s">
        <v>42</v>
      </c>
      <c r="S17" s="62" t="s">
        <v>30</v>
      </c>
      <c r="T17" s="62" t="s">
        <v>30</v>
      </c>
      <c r="U17" s="67">
        <v>10250</v>
      </c>
      <c r="V17" s="68">
        <v>30</v>
      </c>
      <c r="W17" s="68">
        <v>0</v>
      </c>
      <c r="X17" s="72">
        <f t="shared" si="0"/>
        <v>30</v>
      </c>
      <c r="Y17" s="78">
        <f t="shared" si="1"/>
        <v>341.66666666666669</v>
      </c>
      <c r="Z17" s="67">
        <f t="shared" si="2"/>
        <v>10250</v>
      </c>
      <c r="AA17" s="67">
        <f>+U17</f>
        <v>10250</v>
      </c>
      <c r="AB17" s="67">
        <v>0</v>
      </c>
      <c r="AC17" s="67">
        <f t="shared" si="23"/>
        <v>0</v>
      </c>
      <c r="AD17" s="67">
        <f t="shared" si="3"/>
        <v>10250</v>
      </c>
      <c r="AE17" s="67">
        <f t="shared" si="4"/>
        <v>10250</v>
      </c>
      <c r="AF17" s="67">
        <f t="shared" si="5"/>
        <v>0</v>
      </c>
      <c r="AG17" s="67">
        <f t="shared" si="6"/>
        <v>0</v>
      </c>
      <c r="AH17" s="67"/>
      <c r="AI17" s="67">
        <f t="shared" si="7"/>
        <v>10250</v>
      </c>
      <c r="AJ17" s="67">
        <f t="shared" si="8"/>
        <v>0</v>
      </c>
      <c r="AK17" s="67">
        <f t="shared" si="9"/>
        <v>0</v>
      </c>
      <c r="AL17" s="67">
        <f t="shared" si="10"/>
        <v>0</v>
      </c>
      <c r="AM17" s="67">
        <f>IF((AI17)&gt;25000,300,IF((AI17)&gt;7500,0,0))</f>
        <v>0</v>
      </c>
      <c r="AN17" s="69">
        <v>0</v>
      </c>
      <c r="AO17" s="67">
        <f>+AI17*2%</f>
        <v>205</v>
      </c>
      <c r="AP17" s="67"/>
      <c r="AQ17" s="67">
        <f t="shared" si="11"/>
        <v>10045</v>
      </c>
      <c r="AR17" s="70" t="s">
        <v>311</v>
      </c>
      <c r="AS17" s="62" t="s">
        <v>214</v>
      </c>
      <c r="AT17" s="62" t="s">
        <v>178</v>
      </c>
      <c r="AU17" s="64" t="s">
        <v>338</v>
      </c>
      <c r="AV17" s="62" t="s">
        <v>182</v>
      </c>
      <c r="AW17" s="68" t="s">
        <v>701</v>
      </c>
      <c r="AX17" s="71">
        <f t="shared" si="12"/>
        <v>0</v>
      </c>
      <c r="AY17" s="71">
        <f t="shared" si="13"/>
        <v>0</v>
      </c>
      <c r="AZ17" s="71">
        <f t="shared" si="14"/>
        <v>0</v>
      </c>
      <c r="BA17" s="71">
        <f t="shared" si="15"/>
        <v>0</v>
      </c>
      <c r="BB17" s="71"/>
      <c r="BC17" s="71">
        <f t="shared" si="16"/>
        <v>0</v>
      </c>
      <c r="BD17" s="71">
        <f t="shared" si="17"/>
        <v>0</v>
      </c>
      <c r="BE17" s="71">
        <f t="shared" si="18"/>
        <v>0</v>
      </c>
      <c r="BF17" s="71">
        <f t="shared" si="19"/>
        <v>0</v>
      </c>
      <c r="BG17" s="71">
        <f t="shared" si="20"/>
        <v>10250</v>
      </c>
      <c r="BH17" s="71"/>
      <c r="BI17" s="71"/>
      <c r="BJ17" s="62"/>
      <c r="BK17" s="72">
        <f t="shared" si="21"/>
        <v>45</v>
      </c>
      <c r="BL17" s="62" t="e">
        <v>#N/A</v>
      </c>
      <c r="BM17" s="62"/>
      <c r="BN17" s="68" t="e">
        <f>VLOOKUP(C17,'[1]Payroll Sheet'!C$8:F$26,4,FALSE)</f>
        <v>#N/A</v>
      </c>
      <c r="BO17" s="62" t="s">
        <v>293</v>
      </c>
    </row>
    <row r="18" spans="1:67" s="74" customFormat="1" ht="15" hidden="1" customHeight="1" x14ac:dyDescent="0.3">
      <c r="A18" s="62">
        <v>11</v>
      </c>
      <c r="B18" s="62" t="s">
        <v>528</v>
      </c>
      <c r="C18" s="62" t="s">
        <v>225</v>
      </c>
      <c r="D18" s="62"/>
      <c r="E18" s="62" t="s">
        <v>59</v>
      </c>
      <c r="F18" s="63">
        <v>35698</v>
      </c>
      <c r="G18" s="64" t="s">
        <v>226</v>
      </c>
      <c r="H18" s="64" t="s">
        <v>100</v>
      </c>
      <c r="I18" s="64" t="s">
        <v>227</v>
      </c>
      <c r="J18" s="64" t="s">
        <v>228</v>
      </c>
      <c r="K18" s="64">
        <v>8976711149</v>
      </c>
      <c r="L18" s="64" t="s">
        <v>229</v>
      </c>
      <c r="M18" s="64" t="s">
        <v>230</v>
      </c>
      <c r="N18" s="66">
        <v>44531</v>
      </c>
      <c r="O18" s="64" t="s">
        <v>224</v>
      </c>
      <c r="P18" s="64" t="s">
        <v>214</v>
      </c>
      <c r="Q18" s="62" t="s">
        <v>223</v>
      </c>
      <c r="R18" s="62" t="s">
        <v>43</v>
      </c>
      <c r="S18" s="62" t="s">
        <v>30</v>
      </c>
      <c r="T18" s="62" t="s">
        <v>30</v>
      </c>
      <c r="U18" s="67">
        <v>35000</v>
      </c>
      <c r="V18" s="68">
        <v>30</v>
      </c>
      <c r="W18" s="68">
        <v>0</v>
      </c>
      <c r="X18" s="68">
        <f t="shared" si="0"/>
        <v>30</v>
      </c>
      <c r="Y18" s="67">
        <f t="shared" si="1"/>
        <v>1166.6666666666667</v>
      </c>
      <c r="Z18" s="67">
        <f t="shared" si="2"/>
        <v>35000</v>
      </c>
      <c r="AA18" s="67">
        <v>20000</v>
      </c>
      <c r="AB18" s="67">
        <v>2000</v>
      </c>
      <c r="AC18" s="67">
        <f t="shared" si="23"/>
        <v>13000</v>
      </c>
      <c r="AD18" s="67">
        <f t="shared" si="3"/>
        <v>35000</v>
      </c>
      <c r="AE18" s="67">
        <f t="shared" si="4"/>
        <v>20000</v>
      </c>
      <c r="AF18" s="67">
        <f t="shared" si="5"/>
        <v>2000</v>
      </c>
      <c r="AG18" s="67">
        <f t="shared" si="6"/>
        <v>13000</v>
      </c>
      <c r="AH18" s="67"/>
      <c r="AI18" s="67">
        <f t="shared" si="7"/>
        <v>35000</v>
      </c>
      <c r="AJ18" s="67">
        <f t="shared" si="8"/>
        <v>0</v>
      </c>
      <c r="AK18" s="67">
        <f t="shared" si="9"/>
        <v>0</v>
      </c>
      <c r="AL18" s="67">
        <f t="shared" si="10"/>
        <v>0</v>
      </c>
      <c r="AM18" s="67">
        <f>IF((AI18)&gt;10000,200,IF((AI18)&gt;7500,175,0))</f>
        <v>200</v>
      </c>
      <c r="AN18" s="69">
        <v>0</v>
      </c>
      <c r="AO18" s="67">
        <v>0</v>
      </c>
      <c r="AP18" s="67"/>
      <c r="AQ18" s="67">
        <f t="shared" si="11"/>
        <v>34800</v>
      </c>
      <c r="AR18" s="70" t="s">
        <v>197</v>
      </c>
      <c r="AS18" s="62" t="s">
        <v>214</v>
      </c>
      <c r="AT18" s="62" t="s">
        <v>178</v>
      </c>
      <c r="AU18" s="80" t="s">
        <v>281</v>
      </c>
      <c r="AV18" s="62" t="s">
        <v>182</v>
      </c>
      <c r="AW18" s="68" t="s">
        <v>702</v>
      </c>
      <c r="AX18" s="71">
        <f t="shared" si="12"/>
        <v>0</v>
      </c>
      <c r="AY18" s="71">
        <f t="shared" si="13"/>
        <v>0</v>
      </c>
      <c r="AZ18" s="71">
        <f t="shared" si="14"/>
        <v>0</v>
      </c>
      <c r="BA18" s="71">
        <f t="shared" si="15"/>
        <v>0</v>
      </c>
      <c r="BB18" s="71"/>
      <c r="BC18" s="71">
        <f t="shared" si="16"/>
        <v>0</v>
      </c>
      <c r="BD18" s="71">
        <f t="shared" si="17"/>
        <v>0</v>
      </c>
      <c r="BE18" s="71">
        <f t="shared" si="18"/>
        <v>0</v>
      </c>
      <c r="BF18" s="71">
        <f t="shared" si="19"/>
        <v>0</v>
      </c>
      <c r="BG18" s="71">
        <f t="shared" si="20"/>
        <v>35000</v>
      </c>
      <c r="BH18" s="71"/>
      <c r="BI18" s="71"/>
      <c r="BJ18" s="62"/>
      <c r="BK18" s="72">
        <f t="shared" si="21"/>
        <v>51</v>
      </c>
      <c r="BL18" s="62" t="s">
        <v>231</v>
      </c>
      <c r="BM18" s="62" t="s">
        <v>278</v>
      </c>
      <c r="BN18" s="66">
        <v>45566</v>
      </c>
      <c r="BO18" s="62" t="s">
        <v>278</v>
      </c>
    </row>
    <row r="19" spans="1:67" s="74" customFormat="1" ht="17.25" customHeight="1" x14ac:dyDescent="0.3">
      <c r="A19" s="62">
        <v>12</v>
      </c>
      <c r="B19" s="62" t="s">
        <v>529</v>
      </c>
      <c r="C19" s="62" t="s">
        <v>339</v>
      </c>
      <c r="D19" s="62"/>
      <c r="E19" s="62" t="s">
        <v>60</v>
      </c>
      <c r="F19" s="63">
        <v>30610</v>
      </c>
      <c r="G19" s="64" t="s">
        <v>340</v>
      </c>
      <c r="H19" s="64" t="s">
        <v>101</v>
      </c>
      <c r="I19" s="64" t="s">
        <v>341</v>
      </c>
      <c r="J19" s="91" t="s">
        <v>342</v>
      </c>
      <c r="K19" s="64">
        <v>9619361626</v>
      </c>
      <c r="L19" s="64" t="s">
        <v>343</v>
      </c>
      <c r="M19" s="64" t="s">
        <v>344</v>
      </c>
      <c r="N19" s="66">
        <v>44378</v>
      </c>
      <c r="O19" s="64" t="s">
        <v>232</v>
      </c>
      <c r="P19" s="64" t="s">
        <v>214</v>
      </c>
      <c r="Q19" s="62" t="s">
        <v>223</v>
      </c>
      <c r="R19" s="62" t="s">
        <v>43</v>
      </c>
      <c r="S19" s="62" t="s">
        <v>30</v>
      </c>
      <c r="T19" s="62" t="s">
        <v>30</v>
      </c>
      <c r="U19" s="67">
        <v>150000</v>
      </c>
      <c r="V19" s="68">
        <v>30</v>
      </c>
      <c r="W19" s="68">
        <v>0</v>
      </c>
      <c r="X19" s="68">
        <f t="shared" si="0"/>
        <v>30</v>
      </c>
      <c r="Y19" s="67">
        <f t="shared" si="1"/>
        <v>5000</v>
      </c>
      <c r="Z19" s="67">
        <f t="shared" si="2"/>
        <v>150000</v>
      </c>
      <c r="AA19" s="67">
        <v>50000</v>
      </c>
      <c r="AB19" s="67">
        <f>+AA19/2</f>
        <v>25000</v>
      </c>
      <c r="AC19" s="67">
        <f t="shared" si="23"/>
        <v>75000</v>
      </c>
      <c r="AD19" s="67">
        <f t="shared" si="3"/>
        <v>150000</v>
      </c>
      <c r="AE19" s="67">
        <f t="shared" si="4"/>
        <v>50000</v>
      </c>
      <c r="AF19" s="67">
        <f t="shared" si="5"/>
        <v>25000</v>
      </c>
      <c r="AG19" s="67">
        <f t="shared" si="6"/>
        <v>75000</v>
      </c>
      <c r="AH19" s="67"/>
      <c r="AI19" s="67">
        <f t="shared" si="7"/>
        <v>150000</v>
      </c>
      <c r="AJ19" s="67">
        <f t="shared" si="8"/>
        <v>0</v>
      </c>
      <c r="AK19" s="67">
        <f t="shared" si="9"/>
        <v>0</v>
      </c>
      <c r="AL19" s="67">
        <f t="shared" si="10"/>
        <v>0</v>
      </c>
      <c r="AM19" s="67">
        <v>0</v>
      </c>
      <c r="AN19" s="69">
        <v>0</v>
      </c>
      <c r="AO19" s="67">
        <f>+AI19*2%</f>
        <v>3000</v>
      </c>
      <c r="AP19" s="67"/>
      <c r="AQ19" s="67">
        <f t="shared" si="11"/>
        <v>147000</v>
      </c>
      <c r="AR19" s="70" t="s">
        <v>311</v>
      </c>
      <c r="AS19" s="62" t="s">
        <v>214</v>
      </c>
      <c r="AT19" s="62" t="s">
        <v>301</v>
      </c>
      <c r="AU19" s="65" t="s">
        <v>449</v>
      </c>
      <c r="AV19" s="62" t="s">
        <v>450</v>
      </c>
      <c r="AW19" s="68" t="s">
        <v>703</v>
      </c>
      <c r="AX19" s="71">
        <f t="shared" si="12"/>
        <v>0</v>
      </c>
      <c r="AY19" s="71">
        <f t="shared" si="13"/>
        <v>0</v>
      </c>
      <c r="AZ19" s="71">
        <f t="shared" si="14"/>
        <v>0</v>
      </c>
      <c r="BA19" s="71">
        <f t="shared" si="15"/>
        <v>0</v>
      </c>
      <c r="BB19" s="71"/>
      <c r="BC19" s="71">
        <f t="shared" si="16"/>
        <v>0</v>
      </c>
      <c r="BD19" s="71">
        <f t="shared" si="17"/>
        <v>0</v>
      </c>
      <c r="BE19" s="71">
        <f t="shared" si="18"/>
        <v>0</v>
      </c>
      <c r="BF19" s="71">
        <f t="shared" si="19"/>
        <v>0</v>
      </c>
      <c r="BG19" s="71">
        <f t="shared" si="20"/>
        <v>150000</v>
      </c>
      <c r="BH19" s="71"/>
      <c r="BI19" s="71"/>
      <c r="BJ19" s="62"/>
      <c r="BK19" s="72">
        <f t="shared" si="21"/>
        <v>56</v>
      </c>
      <c r="BL19" s="62" t="e">
        <v>#N/A</v>
      </c>
      <c r="BM19" s="62"/>
      <c r="BN19" s="66">
        <v>45323</v>
      </c>
      <c r="BO19" s="62" t="s">
        <v>295</v>
      </c>
    </row>
    <row r="20" spans="1:67" s="74" customFormat="1" ht="15" hidden="1" customHeight="1" x14ac:dyDescent="0.3">
      <c r="A20" s="62">
        <v>13</v>
      </c>
      <c r="B20" s="62" t="s">
        <v>530</v>
      </c>
      <c r="C20" s="62" t="s">
        <v>235</v>
      </c>
      <c r="D20" s="62"/>
      <c r="E20" s="62" t="s">
        <v>60</v>
      </c>
      <c r="F20" s="63">
        <v>35249</v>
      </c>
      <c r="G20" s="64" t="s">
        <v>236</v>
      </c>
      <c r="H20" s="64" t="s">
        <v>100</v>
      </c>
      <c r="I20" s="64" t="s">
        <v>237</v>
      </c>
      <c r="J20" s="64" t="s">
        <v>238</v>
      </c>
      <c r="K20" s="64">
        <v>8237432558</v>
      </c>
      <c r="L20" s="65" t="s">
        <v>239</v>
      </c>
      <c r="M20" s="64" t="s">
        <v>240</v>
      </c>
      <c r="N20" s="66">
        <v>42935</v>
      </c>
      <c r="O20" s="64" t="s">
        <v>224</v>
      </c>
      <c r="P20" s="64" t="s">
        <v>214</v>
      </c>
      <c r="Q20" s="62" t="s">
        <v>234</v>
      </c>
      <c r="R20" s="62" t="s">
        <v>42</v>
      </c>
      <c r="S20" s="62" t="s">
        <v>30</v>
      </c>
      <c r="T20" s="62" t="s">
        <v>30</v>
      </c>
      <c r="U20" s="67">
        <v>28000</v>
      </c>
      <c r="V20" s="68">
        <v>30</v>
      </c>
      <c r="W20" s="68">
        <v>0</v>
      </c>
      <c r="X20" s="72">
        <f t="shared" si="0"/>
        <v>30</v>
      </c>
      <c r="Y20" s="67">
        <f t="shared" si="1"/>
        <v>933.33333333333337</v>
      </c>
      <c r="Z20" s="67">
        <f t="shared" si="2"/>
        <v>28000</v>
      </c>
      <c r="AA20" s="67">
        <v>20000</v>
      </c>
      <c r="AB20" s="67">
        <v>0</v>
      </c>
      <c r="AC20" s="67">
        <f t="shared" si="23"/>
        <v>8000</v>
      </c>
      <c r="AD20" s="67">
        <f t="shared" si="3"/>
        <v>28000</v>
      </c>
      <c r="AE20" s="67">
        <f t="shared" si="4"/>
        <v>20000</v>
      </c>
      <c r="AF20" s="67">
        <f t="shared" si="5"/>
        <v>0</v>
      </c>
      <c r="AG20" s="67">
        <f t="shared" si="6"/>
        <v>8000</v>
      </c>
      <c r="AH20" s="67"/>
      <c r="AI20" s="67">
        <f t="shared" si="7"/>
        <v>28000</v>
      </c>
      <c r="AJ20" s="67">
        <f t="shared" si="8"/>
        <v>0</v>
      </c>
      <c r="AK20" s="67">
        <f t="shared" si="9"/>
        <v>0</v>
      </c>
      <c r="AL20" s="67">
        <f t="shared" si="10"/>
        <v>0</v>
      </c>
      <c r="AM20" s="67">
        <f>IF((AI20)&gt;25000,200,IF((AI20)&gt;7500,0,0))</f>
        <v>200</v>
      </c>
      <c r="AN20" s="69">
        <v>0</v>
      </c>
      <c r="AO20" s="67">
        <v>0</v>
      </c>
      <c r="AP20" s="67"/>
      <c r="AQ20" s="67">
        <f t="shared" si="11"/>
        <v>27800</v>
      </c>
      <c r="AR20" s="70" t="s">
        <v>197</v>
      </c>
      <c r="AS20" s="62" t="s">
        <v>214</v>
      </c>
      <c r="AT20" s="62" t="s">
        <v>178</v>
      </c>
      <c r="AU20" s="64" t="s">
        <v>241</v>
      </c>
      <c r="AV20" s="62" t="s">
        <v>182</v>
      </c>
      <c r="AW20" s="68" t="s">
        <v>704</v>
      </c>
      <c r="AX20" s="71">
        <f t="shared" si="12"/>
        <v>0</v>
      </c>
      <c r="AY20" s="71">
        <f t="shared" si="13"/>
        <v>0</v>
      </c>
      <c r="AZ20" s="71">
        <f t="shared" si="14"/>
        <v>0</v>
      </c>
      <c r="BA20" s="71">
        <f t="shared" si="15"/>
        <v>0</v>
      </c>
      <c r="BB20" s="71"/>
      <c r="BC20" s="71">
        <f t="shared" si="16"/>
        <v>0</v>
      </c>
      <c r="BD20" s="71">
        <f t="shared" si="17"/>
        <v>0</v>
      </c>
      <c r="BE20" s="71">
        <f t="shared" si="18"/>
        <v>0</v>
      </c>
      <c r="BF20" s="71">
        <f t="shared" si="19"/>
        <v>0</v>
      </c>
      <c r="BG20" s="71">
        <f t="shared" si="20"/>
        <v>28000</v>
      </c>
      <c r="BH20" s="71"/>
      <c r="BI20" s="71"/>
      <c r="BJ20" s="62"/>
      <c r="BK20" s="72">
        <f t="shared" si="21"/>
        <v>104</v>
      </c>
      <c r="BL20" s="62" t="e">
        <v>#N/A</v>
      </c>
      <c r="BM20" s="73"/>
      <c r="BN20" s="66">
        <v>45566</v>
      </c>
      <c r="BO20" s="62" t="s">
        <v>295</v>
      </c>
    </row>
    <row r="21" spans="1:67" s="74" customFormat="1" ht="15" customHeight="1" x14ac:dyDescent="0.3">
      <c r="A21" s="62">
        <v>14</v>
      </c>
      <c r="B21" s="62" t="s">
        <v>531</v>
      </c>
      <c r="C21" s="77" t="s">
        <v>345</v>
      </c>
      <c r="D21" s="62"/>
      <c r="E21" s="48" t="s">
        <v>59</v>
      </c>
      <c r="F21" s="38">
        <v>36535</v>
      </c>
      <c r="G21" s="44" t="s">
        <v>346</v>
      </c>
      <c r="H21" s="44" t="s">
        <v>100</v>
      </c>
      <c r="I21" s="64" t="s">
        <v>347</v>
      </c>
      <c r="J21" s="39" t="s">
        <v>348</v>
      </c>
      <c r="K21" s="44">
        <v>8691889706</v>
      </c>
      <c r="L21" s="58" t="s">
        <v>349</v>
      </c>
      <c r="M21" s="44" t="s">
        <v>350</v>
      </c>
      <c r="N21" s="41">
        <v>44993</v>
      </c>
      <c r="O21" s="44" t="s">
        <v>243</v>
      </c>
      <c r="P21" s="44" t="s">
        <v>214</v>
      </c>
      <c r="Q21" s="62" t="s">
        <v>312</v>
      </c>
      <c r="R21" s="62" t="s">
        <v>42</v>
      </c>
      <c r="S21" s="62" t="s">
        <v>30</v>
      </c>
      <c r="T21" s="62" t="s">
        <v>30</v>
      </c>
      <c r="U21" s="67">
        <v>25000</v>
      </c>
      <c r="V21" s="68">
        <v>30</v>
      </c>
      <c r="W21" s="68">
        <v>0</v>
      </c>
      <c r="X21" s="68">
        <f t="shared" si="0"/>
        <v>30</v>
      </c>
      <c r="Y21" s="67">
        <f t="shared" si="1"/>
        <v>833.33333333333337</v>
      </c>
      <c r="Z21" s="67">
        <f t="shared" si="2"/>
        <v>25000</v>
      </c>
      <c r="AA21" s="67">
        <v>16000</v>
      </c>
      <c r="AB21" s="67">
        <v>0</v>
      </c>
      <c r="AC21" s="67">
        <f t="shared" si="23"/>
        <v>9000</v>
      </c>
      <c r="AD21" s="67">
        <f t="shared" si="3"/>
        <v>25000</v>
      </c>
      <c r="AE21" s="67">
        <f t="shared" si="4"/>
        <v>16000</v>
      </c>
      <c r="AF21" s="67">
        <f t="shared" si="5"/>
        <v>0</v>
      </c>
      <c r="AG21" s="67">
        <f t="shared" si="6"/>
        <v>9000</v>
      </c>
      <c r="AH21" s="67"/>
      <c r="AI21" s="67">
        <f t="shared" si="7"/>
        <v>25000</v>
      </c>
      <c r="AJ21" s="67">
        <f t="shared" si="8"/>
        <v>0</v>
      </c>
      <c r="AK21" s="67">
        <f t="shared" si="9"/>
        <v>0</v>
      </c>
      <c r="AL21" s="67">
        <f t="shared" si="10"/>
        <v>0</v>
      </c>
      <c r="AM21" s="67"/>
      <c r="AN21" s="69">
        <v>0</v>
      </c>
      <c r="AO21" s="67">
        <f>+AI21*2%</f>
        <v>500</v>
      </c>
      <c r="AP21" s="67"/>
      <c r="AQ21" s="67">
        <f t="shared" si="11"/>
        <v>24500</v>
      </c>
      <c r="AR21" s="70" t="s">
        <v>311</v>
      </c>
      <c r="AS21" s="62" t="s">
        <v>214</v>
      </c>
      <c r="AT21" s="62" t="s">
        <v>178</v>
      </c>
      <c r="AU21" s="64" t="s">
        <v>351</v>
      </c>
      <c r="AV21" s="62" t="s">
        <v>182</v>
      </c>
      <c r="AW21" s="68" t="s">
        <v>705</v>
      </c>
      <c r="AX21" s="71">
        <f t="shared" si="12"/>
        <v>0</v>
      </c>
      <c r="AY21" s="71">
        <f t="shared" si="13"/>
        <v>0</v>
      </c>
      <c r="AZ21" s="71">
        <f t="shared" si="14"/>
        <v>0</v>
      </c>
      <c r="BA21" s="71">
        <f t="shared" si="15"/>
        <v>0</v>
      </c>
      <c r="BB21" s="71"/>
      <c r="BC21" s="71">
        <f t="shared" si="16"/>
        <v>0</v>
      </c>
      <c r="BD21" s="71">
        <f t="shared" si="17"/>
        <v>0</v>
      </c>
      <c r="BE21" s="71">
        <f t="shared" si="18"/>
        <v>0</v>
      </c>
      <c r="BF21" s="71">
        <f t="shared" si="19"/>
        <v>0</v>
      </c>
      <c r="BG21" s="71">
        <f t="shared" si="20"/>
        <v>25000</v>
      </c>
      <c r="BH21" s="71"/>
      <c r="BI21" s="71"/>
      <c r="BJ21" s="62"/>
      <c r="BK21" s="72">
        <f t="shared" si="21"/>
        <v>36</v>
      </c>
      <c r="BL21" s="62" t="s">
        <v>352</v>
      </c>
      <c r="BM21" s="62" t="s">
        <v>161</v>
      </c>
      <c r="BN21" s="66">
        <v>45566</v>
      </c>
      <c r="BO21" s="62" t="s">
        <v>291</v>
      </c>
    </row>
    <row r="22" spans="1:67" s="74" customFormat="1" ht="15.75" customHeight="1" x14ac:dyDescent="0.3">
      <c r="A22" s="62">
        <v>15</v>
      </c>
      <c r="B22" s="62" t="s">
        <v>567</v>
      </c>
      <c r="C22" s="62" t="s">
        <v>568</v>
      </c>
      <c r="D22" s="62"/>
      <c r="E22" s="62" t="s">
        <v>59</v>
      </c>
      <c r="F22" s="44"/>
      <c r="G22" s="44"/>
      <c r="H22" s="44"/>
      <c r="I22" s="64" t="s">
        <v>569</v>
      </c>
      <c r="J22" s="39" t="s">
        <v>314</v>
      </c>
      <c r="K22" s="40">
        <v>9699799908</v>
      </c>
      <c r="L22" s="40"/>
      <c r="M22" s="44"/>
      <c r="N22" s="41">
        <v>45108</v>
      </c>
      <c r="O22" s="44" t="s">
        <v>243</v>
      </c>
      <c r="P22" s="44" t="s">
        <v>214</v>
      </c>
      <c r="Q22" s="62" t="s">
        <v>312</v>
      </c>
      <c r="R22" s="62" t="s">
        <v>42</v>
      </c>
      <c r="S22" s="62" t="s">
        <v>30</v>
      </c>
      <c r="T22" s="62" t="s">
        <v>30</v>
      </c>
      <c r="U22" s="67">
        <v>200000</v>
      </c>
      <c r="V22" s="68">
        <v>30</v>
      </c>
      <c r="W22" s="68">
        <v>0</v>
      </c>
      <c r="X22" s="68">
        <f t="shared" si="0"/>
        <v>30</v>
      </c>
      <c r="Y22" s="78">
        <f t="shared" si="1"/>
        <v>6666.666666666667</v>
      </c>
      <c r="Z22" s="67">
        <f t="shared" si="2"/>
        <v>200000</v>
      </c>
      <c r="AA22" s="67">
        <f>+U22</f>
        <v>200000</v>
      </c>
      <c r="AB22" s="67">
        <v>0</v>
      </c>
      <c r="AC22" s="67">
        <v>0</v>
      </c>
      <c r="AD22" s="67">
        <f t="shared" si="3"/>
        <v>200000</v>
      </c>
      <c r="AE22" s="67">
        <f t="shared" si="4"/>
        <v>200000</v>
      </c>
      <c r="AF22" s="67">
        <f t="shared" si="5"/>
        <v>0</v>
      </c>
      <c r="AG22" s="67">
        <f t="shared" si="6"/>
        <v>0</v>
      </c>
      <c r="AH22" s="67"/>
      <c r="AI22" s="67">
        <f t="shared" si="7"/>
        <v>200000</v>
      </c>
      <c r="AJ22" s="67">
        <f t="shared" si="8"/>
        <v>0</v>
      </c>
      <c r="AK22" s="67">
        <f t="shared" si="9"/>
        <v>0</v>
      </c>
      <c r="AL22" s="67">
        <f t="shared" si="10"/>
        <v>0</v>
      </c>
      <c r="AM22" s="67"/>
      <c r="AN22" s="69">
        <v>0</v>
      </c>
      <c r="AO22" s="67">
        <f>+AI22*2%</f>
        <v>4000</v>
      </c>
      <c r="AP22" s="67"/>
      <c r="AQ22" s="67">
        <f t="shared" si="11"/>
        <v>196000</v>
      </c>
      <c r="AR22" s="70" t="s">
        <v>311</v>
      </c>
      <c r="AS22" s="62" t="s">
        <v>214</v>
      </c>
      <c r="AT22" s="62" t="s">
        <v>216</v>
      </c>
      <c r="AU22" s="81" t="s">
        <v>570</v>
      </c>
      <c r="AV22" s="62" t="s">
        <v>571</v>
      </c>
      <c r="AW22" s="68" t="s">
        <v>706</v>
      </c>
      <c r="AX22" s="71"/>
      <c r="AY22" s="71"/>
      <c r="AZ22" s="71"/>
      <c r="BA22" s="71"/>
      <c r="BB22" s="71"/>
      <c r="BC22" s="71"/>
      <c r="BD22" s="71"/>
      <c r="BE22" s="71"/>
      <c r="BF22" s="71"/>
      <c r="BG22" s="71">
        <f t="shared" si="20"/>
        <v>200000</v>
      </c>
      <c r="BH22" s="71"/>
      <c r="BI22" s="71"/>
      <c r="BJ22" s="62"/>
      <c r="BK22" s="72"/>
      <c r="BL22" s="68"/>
      <c r="BM22" s="71"/>
      <c r="BN22" s="71" t="e">
        <f>VLOOKUP(C22,'[2]Payroll Sheet'!C$8:E$33,3,FALSE)</f>
        <v>#N/A</v>
      </c>
      <c r="BO22" s="62" t="s">
        <v>311</v>
      </c>
    </row>
    <row r="23" spans="1:67" s="74" customFormat="1" ht="15" customHeight="1" x14ac:dyDescent="0.3">
      <c r="A23" s="62">
        <v>16</v>
      </c>
      <c r="B23" s="62" t="s">
        <v>532</v>
      </c>
      <c r="C23" s="62" t="s">
        <v>471</v>
      </c>
      <c r="D23" s="62"/>
      <c r="E23" s="48" t="s">
        <v>59</v>
      </c>
      <c r="F23" s="38">
        <v>33851</v>
      </c>
      <c r="G23" s="48" t="s">
        <v>472</v>
      </c>
      <c r="H23" s="48" t="s">
        <v>101</v>
      </c>
      <c r="I23" s="62" t="s">
        <v>473</v>
      </c>
      <c r="J23" s="48" t="s">
        <v>474</v>
      </c>
      <c r="K23" s="48">
        <v>8976784299</v>
      </c>
      <c r="L23" s="48" t="s">
        <v>475</v>
      </c>
      <c r="M23" s="48" t="s">
        <v>476</v>
      </c>
      <c r="N23" s="41">
        <v>44901</v>
      </c>
      <c r="O23" s="48" t="s">
        <v>220</v>
      </c>
      <c r="P23" s="48" t="s">
        <v>214</v>
      </c>
      <c r="Q23" s="62" t="s">
        <v>312</v>
      </c>
      <c r="R23" s="62" t="s">
        <v>42</v>
      </c>
      <c r="S23" s="62" t="s">
        <v>30</v>
      </c>
      <c r="T23" s="62" t="s">
        <v>30</v>
      </c>
      <c r="U23" s="67">
        <v>40000</v>
      </c>
      <c r="V23" s="68">
        <v>30</v>
      </c>
      <c r="W23" s="68">
        <v>15</v>
      </c>
      <c r="X23" s="68">
        <f t="shared" si="0"/>
        <v>15</v>
      </c>
      <c r="Y23" s="67">
        <f t="shared" si="1"/>
        <v>1333.3333333333333</v>
      </c>
      <c r="Z23" s="67">
        <f t="shared" si="2"/>
        <v>20000</v>
      </c>
      <c r="AA23" s="67">
        <v>15000</v>
      </c>
      <c r="AB23" s="67">
        <f>+AA23/2</f>
        <v>7500</v>
      </c>
      <c r="AC23" s="67">
        <f>+U23-AA23-AB23</f>
        <v>17500</v>
      </c>
      <c r="AD23" s="67">
        <f t="shared" si="3"/>
        <v>40000</v>
      </c>
      <c r="AE23" s="67">
        <f t="shared" si="4"/>
        <v>7500</v>
      </c>
      <c r="AF23" s="67">
        <f t="shared" si="5"/>
        <v>3750</v>
      </c>
      <c r="AG23" s="67">
        <f t="shared" si="6"/>
        <v>8750</v>
      </c>
      <c r="AH23" s="67"/>
      <c r="AI23" s="67">
        <f t="shared" si="7"/>
        <v>20000</v>
      </c>
      <c r="AJ23" s="67">
        <f t="shared" si="8"/>
        <v>0</v>
      </c>
      <c r="AK23" s="67">
        <f t="shared" si="9"/>
        <v>0</v>
      </c>
      <c r="AL23" s="67">
        <f t="shared" si="10"/>
        <v>0</v>
      </c>
      <c r="AM23" s="67">
        <v>0</v>
      </c>
      <c r="AN23" s="69">
        <v>0</v>
      </c>
      <c r="AO23" s="67">
        <f>+AI23*2%</f>
        <v>400</v>
      </c>
      <c r="AP23" s="67"/>
      <c r="AQ23" s="67">
        <f t="shared" si="11"/>
        <v>19600</v>
      </c>
      <c r="AR23" s="70" t="s">
        <v>311</v>
      </c>
      <c r="AS23" s="62" t="s">
        <v>214</v>
      </c>
      <c r="AT23" s="62" t="s">
        <v>477</v>
      </c>
      <c r="AU23" s="65" t="s">
        <v>478</v>
      </c>
      <c r="AV23" s="62" t="s">
        <v>479</v>
      </c>
      <c r="AW23" s="68" t="s">
        <v>707</v>
      </c>
      <c r="AX23" s="71">
        <f t="shared" ref="AX23:AX51" si="24">IF(S23="Yes",AE23,0)</f>
        <v>0</v>
      </c>
      <c r="AY23" s="71">
        <f t="shared" ref="AY23:AY51" si="25">ROUND(AX23*12%,0)</f>
        <v>0</v>
      </c>
      <c r="AZ23" s="71">
        <f t="shared" ref="AZ23:AZ51" si="26">AY23-BA23</f>
        <v>0</v>
      </c>
      <c r="BA23" s="71">
        <f t="shared" ref="BA23:BA61" si="27">ROUND(AX23*8.33%,0)</f>
        <v>0</v>
      </c>
      <c r="BB23" s="71"/>
      <c r="BC23" s="71">
        <f t="shared" ref="BC23:BC51" si="28">IF(T23="Yes",AI23,0)</f>
        <v>0</v>
      </c>
      <c r="BD23" s="71">
        <f t="shared" ref="BD23:BD51" si="29">ROUNDUP(BC23*0.75%,0)</f>
        <v>0</v>
      </c>
      <c r="BE23" s="71">
        <f t="shared" ref="BE23:BE51" si="30">ROUND(BC23*3.25%,0)</f>
        <v>0</v>
      </c>
      <c r="BF23" s="71">
        <f t="shared" ref="BF23:BF61" si="31">BD23+BE23</f>
        <v>0</v>
      </c>
      <c r="BG23" s="71">
        <f t="shared" si="20"/>
        <v>20000</v>
      </c>
      <c r="BH23" s="71"/>
      <c r="BI23" s="71"/>
      <c r="BJ23" s="62"/>
      <c r="BK23" s="72">
        <f t="shared" ref="BK23:BK54" si="32">DATEDIF(N23,$BK$5,"M")</f>
        <v>39</v>
      </c>
      <c r="BL23" s="62" t="s">
        <v>480</v>
      </c>
      <c r="BM23" s="62" t="s">
        <v>161</v>
      </c>
      <c r="BN23" s="68"/>
      <c r="BO23" s="71"/>
    </row>
    <row r="24" spans="1:67" s="74" customFormat="1" ht="16.5" hidden="1" customHeight="1" x14ac:dyDescent="0.3">
      <c r="A24" s="62">
        <v>17</v>
      </c>
      <c r="B24" s="62" t="s">
        <v>533</v>
      </c>
      <c r="C24" s="62" t="s">
        <v>244</v>
      </c>
      <c r="D24" s="62"/>
      <c r="E24" s="62" t="s">
        <v>59</v>
      </c>
      <c r="F24" s="63">
        <v>29066</v>
      </c>
      <c r="G24" s="64" t="s">
        <v>245</v>
      </c>
      <c r="H24" s="64" t="s">
        <v>101</v>
      </c>
      <c r="I24" s="64" t="s">
        <v>246</v>
      </c>
      <c r="J24" s="64" t="s">
        <v>247</v>
      </c>
      <c r="K24" s="64">
        <v>9920629129</v>
      </c>
      <c r="L24" s="65" t="s">
        <v>248</v>
      </c>
      <c r="M24" s="64" t="s">
        <v>249</v>
      </c>
      <c r="N24" s="66">
        <v>43282</v>
      </c>
      <c r="O24" s="64" t="s">
        <v>232</v>
      </c>
      <c r="P24" s="64" t="s">
        <v>214</v>
      </c>
      <c r="Q24" s="62" t="s">
        <v>250</v>
      </c>
      <c r="R24" s="62" t="s">
        <v>42</v>
      </c>
      <c r="S24" s="62" t="s">
        <v>30</v>
      </c>
      <c r="T24" s="62" t="s">
        <v>30</v>
      </c>
      <c r="U24" s="67">
        <v>75000</v>
      </c>
      <c r="V24" s="68">
        <v>30</v>
      </c>
      <c r="W24" s="68">
        <v>0</v>
      </c>
      <c r="X24" s="68">
        <f t="shared" si="0"/>
        <v>30</v>
      </c>
      <c r="Y24" s="67">
        <f t="shared" si="1"/>
        <v>2500</v>
      </c>
      <c r="Z24" s="67">
        <f t="shared" si="2"/>
        <v>75000</v>
      </c>
      <c r="AA24" s="67">
        <v>30000</v>
      </c>
      <c r="AB24" s="67">
        <v>15000</v>
      </c>
      <c r="AC24" s="67">
        <v>30000</v>
      </c>
      <c r="AD24" s="67">
        <f t="shared" si="3"/>
        <v>75000</v>
      </c>
      <c r="AE24" s="67">
        <f t="shared" si="4"/>
        <v>30000</v>
      </c>
      <c r="AF24" s="67">
        <f t="shared" si="5"/>
        <v>15000</v>
      </c>
      <c r="AG24" s="67">
        <f t="shared" si="6"/>
        <v>30000</v>
      </c>
      <c r="AH24" s="67"/>
      <c r="AI24" s="67">
        <f t="shared" si="7"/>
        <v>75000</v>
      </c>
      <c r="AJ24" s="67">
        <f t="shared" si="8"/>
        <v>0</v>
      </c>
      <c r="AK24" s="67">
        <f t="shared" si="9"/>
        <v>0</v>
      </c>
      <c r="AL24" s="67">
        <f t="shared" si="10"/>
        <v>0</v>
      </c>
      <c r="AM24" s="67">
        <f>IF((AI24)&gt;10000,200,IF((AI24)&gt;7500,175,0))</f>
        <v>200</v>
      </c>
      <c r="AN24" s="69">
        <v>0</v>
      </c>
      <c r="AO24" s="67">
        <v>0</v>
      </c>
      <c r="AP24" s="67"/>
      <c r="AQ24" s="67">
        <f t="shared" si="11"/>
        <v>74800</v>
      </c>
      <c r="AR24" s="70" t="s">
        <v>197</v>
      </c>
      <c r="AS24" s="62" t="s">
        <v>214</v>
      </c>
      <c r="AT24" s="62" t="s">
        <v>216</v>
      </c>
      <c r="AU24" s="64" t="s">
        <v>251</v>
      </c>
      <c r="AV24" s="87" t="s">
        <v>252</v>
      </c>
      <c r="AW24" s="68" t="s">
        <v>708</v>
      </c>
      <c r="AX24" s="71">
        <f t="shared" si="24"/>
        <v>0</v>
      </c>
      <c r="AY24" s="71">
        <f t="shared" si="25"/>
        <v>0</v>
      </c>
      <c r="AZ24" s="71">
        <f t="shared" si="26"/>
        <v>0</v>
      </c>
      <c r="BA24" s="71">
        <f t="shared" si="27"/>
        <v>0</v>
      </c>
      <c r="BB24" s="71"/>
      <c r="BC24" s="71">
        <f t="shared" si="28"/>
        <v>0</v>
      </c>
      <c r="BD24" s="71">
        <f t="shared" si="29"/>
        <v>0</v>
      </c>
      <c r="BE24" s="71">
        <f t="shared" si="30"/>
        <v>0</v>
      </c>
      <c r="BF24" s="71">
        <f t="shared" si="31"/>
        <v>0</v>
      </c>
      <c r="BG24" s="71">
        <f t="shared" si="20"/>
        <v>75000</v>
      </c>
      <c r="BH24" s="71"/>
      <c r="BI24" s="71"/>
      <c r="BJ24" s="62"/>
      <c r="BK24" s="72">
        <f t="shared" si="32"/>
        <v>92</v>
      </c>
      <c r="BL24" s="62" t="e">
        <v>#N/A</v>
      </c>
      <c r="BM24" s="62"/>
      <c r="BN24" s="66">
        <v>45323</v>
      </c>
      <c r="BO24" s="62" t="s">
        <v>295</v>
      </c>
    </row>
    <row r="25" spans="1:67" s="74" customFormat="1" hidden="1" x14ac:dyDescent="0.3">
      <c r="A25" s="62">
        <v>18</v>
      </c>
      <c r="B25" s="62" t="s">
        <v>534</v>
      </c>
      <c r="C25" s="62" t="s">
        <v>253</v>
      </c>
      <c r="D25" s="62"/>
      <c r="E25" s="48" t="s">
        <v>59</v>
      </c>
      <c r="F25" s="38">
        <v>38281</v>
      </c>
      <c r="G25" s="44" t="s">
        <v>254</v>
      </c>
      <c r="H25" s="44" t="s">
        <v>100</v>
      </c>
      <c r="I25" s="44" t="s">
        <v>255</v>
      </c>
      <c r="J25" s="43" t="s">
        <v>494</v>
      </c>
      <c r="K25" s="44">
        <v>9920173429</v>
      </c>
      <c r="L25" s="42" t="s">
        <v>256</v>
      </c>
      <c r="M25" s="44" t="s">
        <v>495</v>
      </c>
      <c r="N25" s="41">
        <v>45581</v>
      </c>
      <c r="O25" s="44"/>
      <c r="P25" s="44" t="s">
        <v>214</v>
      </c>
      <c r="Q25" s="62" t="s">
        <v>257</v>
      </c>
      <c r="R25" s="62" t="s">
        <v>43</v>
      </c>
      <c r="S25" s="62" t="s">
        <v>30</v>
      </c>
      <c r="T25" s="62" t="s">
        <v>30</v>
      </c>
      <c r="U25" s="67">
        <v>15000</v>
      </c>
      <c r="V25" s="68">
        <v>30</v>
      </c>
      <c r="W25" s="68">
        <v>1</v>
      </c>
      <c r="X25" s="68">
        <f t="shared" si="0"/>
        <v>29</v>
      </c>
      <c r="Y25" s="67">
        <f t="shared" si="1"/>
        <v>500</v>
      </c>
      <c r="Z25" s="67">
        <f t="shared" si="2"/>
        <v>14500</v>
      </c>
      <c r="AA25" s="67">
        <f>+U25</f>
        <v>15000</v>
      </c>
      <c r="AB25" s="67">
        <v>0</v>
      </c>
      <c r="AC25" s="67">
        <v>0</v>
      </c>
      <c r="AD25" s="67">
        <f t="shared" si="3"/>
        <v>15000</v>
      </c>
      <c r="AE25" s="67">
        <f t="shared" si="4"/>
        <v>14500</v>
      </c>
      <c r="AF25" s="67">
        <f t="shared" si="5"/>
        <v>0</v>
      </c>
      <c r="AG25" s="67">
        <f t="shared" si="6"/>
        <v>0</v>
      </c>
      <c r="AH25" s="67"/>
      <c r="AI25" s="67">
        <f t="shared" si="7"/>
        <v>14500</v>
      </c>
      <c r="AJ25" s="67">
        <f t="shared" si="8"/>
        <v>0</v>
      </c>
      <c r="AK25" s="67">
        <f t="shared" si="9"/>
        <v>0</v>
      </c>
      <c r="AL25" s="67">
        <f t="shared" si="10"/>
        <v>0</v>
      </c>
      <c r="AM25" s="67">
        <f>IF((AI25)&gt;10000,200,IF((AI25)&gt;7500,175,0))</f>
        <v>200</v>
      </c>
      <c r="AN25" s="69">
        <v>0</v>
      </c>
      <c r="AO25" s="67">
        <v>0</v>
      </c>
      <c r="AP25" s="67"/>
      <c r="AQ25" s="67">
        <f t="shared" si="11"/>
        <v>14300</v>
      </c>
      <c r="AR25" s="70" t="s">
        <v>197</v>
      </c>
      <c r="AS25" s="62" t="s">
        <v>214</v>
      </c>
      <c r="AT25" s="62" t="s">
        <v>242</v>
      </c>
      <c r="AU25" s="82" t="s">
        <v>258</v>
      </c>
      <c r="AV25" s="62" t="s">
        <v>259</v>
      </c>
      <c r="AW25" s="68" t="s">
        <v>709</v>
      </c>
      <c r="AX25" s="71">
        <f t="shared" si="24"/>
        <v>0</v>
      </c>
      <c r="AY25" s="71">
        <f t="shared" si="25"/>
        <v>0</v>
      </c>
      <c r="AZ25" s="71">
        <f t="shared" si="26"/>
        <v>0</v>
      </c>
      <c r="BA25" s="71">
        <f t="shared" si="27"/>
        <v>0</v>
      </c>
      <c r="BB25" s="71"/>
      <c r="BC25" s="71">
        <f t="shared" si="28"/>
        <v>0</v>
      </c>
      <c r="BD25" s="71">
        <f t="shared" si="29"/>
        <v>0</v>
      </c>
      <c r="BE25" s="71">
        <f t="shared" si="30"/>
        <v>0</v>
      </c>
      <c r="BF25" s="71">
        <f t="shared" si="31"/>
        <v>0</v>
      </c>
      <c r="BG25" s="71">
        <f t="shared" si="20"/>
        <v>14500</v>
      </c>
      <c r="BH25" s="71"/>
      <c r="BI25" s="71"/>
      <c r="BJ25" s="62"/>
      <c r="BK25" s="72">
        <f t="shared" si="32"/>
        <v>17</v>
      </c>
      <c r="BL25" s="62" t="s">
        <v>30</v>
      </c>
      <c r="BM25" s="62"/>
      <c r="BN25" s="66">
        <v>45566</v>
      </c>
      <c r="BO25" s="62" t="s">
        <v>293</v>
      </c>
    </row>
    <row r="26" spans="1:67" s="74" customFormat="1" hidden="1" x14ac:dyDescent="0.3">
      <c r="A26" s="62">
        <v>19</v>
      </c>
      <c r="B26" s="62" t="s">
        <v>535</v>
      </c>
      <c r="C26" s="62" t="s">
        <v>260</v>
      </c>
      <c r="D26" s="62" t="s">
        <v>572</v>
      </c>
      <c r="E26" s="48" t="s">
        <v>59</v>
      </c>
      <c r="F26" s="38">
        <v>37165</v>
      </c>
      <c r="G26" s="44" t="s">
        <v>261</v>
      </c>
      <c r="H26" s="44"/>
      <c r="I26" s="44" t="s">
        <v>262</v>
      </c>
      <c r="J26" s="44" t="s">
        <v>263</v>
      </c>
      <c r="K26" s="44">
        <v>9987346013</v>
      </c>
      <c r="L26" s="44" t="s">
        <v>264</v>
      </c>
      <c r="M26" s="44" t="s">
        <v>265</v>
      </c>
      <c r="N26" s="41">
        <v>45315</v>
      </c>
      <c r="O26" s="44" t="s">
        <v>44</v>
      </c>
      <c r="P26" s="44" t="s">
        <v>214</v>
      </c>
      <c r="Q26" s="62" t="s">
        <v>257</v>
      </c>
      <c r="R26" s="62" t="s">
        <v>43</v>
      </c>
      <c r="S26" s="62" t="s">
        <v>30</v>
      </c>
      <c r="T26" s="62" t="s">
        <v>30</v>
      </c>
      <c r="U26" s="67">
        <v>17000</v>
      </c>
      <c r="V26" s="68">
        <v>30</v>
      </c>
      <c r="W26" s="68">
        <v>2</v>
      </c>
      <c r="X26" s="68">
        <f>V26-W26</f>
        <v>28</v>
      </c>
      <c r="Y26" s="67">
        <f t="shared" si="1"/>
        <v>566.66666666666663</v>
      </c>
      <c r="Z26" s="67">
        <f t="shared" si="2"/>
        <v>15866.666666666666</v>
      </c>
      <c r="AA26" s="67">
        <f>+U26</f>
        <v>17000</v>
      </c>
      <c r="AB26" s="67">
        <v>0</v>
      </c>
      <c r="AC26" s="67">
        <v>0</v>
      </c>
      <c r="AD26" s="67">
        <f t="shared" si="3"/>
        <v>17000</v>
      </c>
      <c r="AE26" s="67">
        <f t="shared" si="4"/>
        <v>15867</v>
      </c>
      <c r="AF26" s="67">
        <f t="shared" si="5"/>
        <v>0</v>
      </c>
      <c r="AG26" s="67">
        <f t="shared" si="6"/>
        <v>0</v>
      </c>
      <c r="AH26" s="67"/>
      <c r="AI26" s="67">
        <f t="shared" si="7"/>
        <v>15867</v>
      </c>
      <c r="AJ26" s="67">
        <f t="shared" si="8"/>
        <v>-0.33333333333393966</v>
      </c>
      <c r="AK26" s="67">
        <f t="shared" si="9"/>
        <v>0</v>
      </c>
      <c r="AL26" s="67">
        <f t="shared" si="10"/>
        <v>0</v>
      </c>
      <c r="AM26" s="67">
        <f>IF((AI26)&gt;10000,200,IF((AI26)&gt;7500,175,0))</f>
        <v>200</v>
      </c>
      <c r="AN26" s="69">
        <v>0</v>
      </c>
      <c r="AO26" s="67">
        <v>0</v>
      </c>
      <c r="AP26" s="67"/>
      <c r="AQ26" s="67">
        <f t="shared" si="11"/>
        <v>15667</v>
      </c>
      <c r="AR26" s="70" t="s">
        <v>197</v>
      </c>
      <c r="AS26" s="62" t="s">
        <v>214</v>
      </c>
      <c r="AT26" s="62" t="s">
        <v>178</v>
      </c>
      <c r="AU26" s="80" t="s">
        <v>282</v>
      </c>
      <c r="AV26" s="62" t="s">
        <v>182</v>
      </c>
      <c r="AW26" s="68" t="s">
        <v>710</v>
      </c>
      <c r="AX26" s="71">
        <f t="shared" si="24"/>
        <v>0</v>
      </c>
      <c r="AY26" s="71">
        <f t="shared" si="25"/>
        <v>0</v>
      </c>
      <c r="AZ26" s="71">
        <f t="shared" si="26"/>
        <v>0</v>
      </c>
      <c r="BA26" s="71">
        <f t="shared" si="27"/>
        <v>0</v>
      </c>
      <c r="BB26" s="71"/>
      <c r="BC26" s="71">
        <f t="shared" si="28"/>
        <v>0</v>
      </c>
      <c r="BD26" s="71">
        <f t="shared" si="29"/>
        <v>0</v>
      </c>
      <c r="BE26" s="71">
        <f t="shared" si="30"/>
        <v>0</v>
      </c>
      <c r="BF26" s="71">
        <f t="shared" si="31"/>
        <v>0</v>
      </c>
      <c r="BG26" s="71">
        <f t="shared" si="20"/>
        <v>15867</v>
      </c>
      <c r="BH26" s="71"/>
      <c r="BI26" s="71"/>
      <c r="BJ26" s="62"/>
      <c r="BK26" s="72">
        <f t="shared" si="32"/>
        <v>26</v>
      </c>
      <c r="BL26" s="62" t="s">
        <v>30</v>
      </c>
      <c r="BM26" s="62"/>
      <c r="BN26" s="66">
        <v>45566</v>
      </c>
      <c r="BO26" s="62" t="s">
        <v>293</v>
      </c>
    </row>
    <row r="27" spans="1:67" s="74" customFormat="1" hidden="1" x14ac:dyDescent="0.3">
      <c r="A27" s="62">
        <v>20</v>
      </c>
      <c r="B27" s="62" t="s">
        <v>536</v>
      </c>
      <c r="C27" s="62" t="s">
        <v>286</v>
      </c>
      <c r="D27" s="62"/>
      <c r="E27" s="48" t="s">
        <v>60</v>
      </c>
      <c r="F27" s="38">
        <v>33227</v>
      </c>
      <c r="G27" s="44" t="s">
        <v>266</v>
      </c>
      <c r="H27" s="44" t="s">
        <v>101</v>
      </c>
      <c r="I27" s="44" t="s">
        <v>267</v>
      </c>
      <c r="J27" s="44" t="s">
        <v>268</v>
      </c>
      <c r="K27" s="44">
        <v>7045248857</v>
      </c>
      <c r="L27" s="42" t="s">
        <v>269</v>
      </c>
      <c r="M27" s="44" t="s">
        <v>270</v>
      </c>
      <c r="N27" s="41">
        <v>43573</v>
      </c>
      <c r="O27" s="44" t="s">
        <v>44</v>
      </c>
      <c r="P27" s="44" t="s">
        <v>214</v>
      </c>
      <c r="Q27" s="62" t="s">
        <v>257</v>
      </c>
      <c r="R27" s="62" t="s">
        <v>43</v>
      </c>
      <c r="S27" s="62" t="s">
        <v>30</v>
      </c>
      <c r="T27" s="62" t="s">
        <v>30</v>
      </c>
      <c r="U27" s="67">
        <v>35000</v>
      </c>
      <c r="V27" s="68">
        <v>30</v>
      </c>
      <c r="W27" s="68">
        <v>0</v>
      </c>
      <c r="X27" s="68">
        <f>V27-W27</f>
        <v>30</v>
      </c>
      <c r="Y27" s="67">
        <f t="shared" si="1"/>
        <v>1166.6666666666667</v>
      </c>
      <c r="Z27" s="67">
        <f t="shared" si="2"/>
        <v>35000</v>
      </c>
      <c r="AA27" s="67">
        <v>20000</v>
      </c>
      <c r="AB27" s="67">
        <v>5000</v>
      </c>
      <c r="AC27" s="67">
        <f t="shared" ref="AC27:AC37" si="33">+U27-AA27-AB27</f>
        <v>10000</v>
      </c>
      <c r="AD27" s="67">
        <f t="shared" si="3"/>
        <v>35000</v>
      </c>
      <c r="AE27" s="67">
        <f t="shared" si="4"/>
        <v>20000</v>
      </c>
      <c r="AF27" s="67">
        <f t="shared" si="5"/>
        <v>5000</v>
      </c>
      <c r="AG27" s="67">
        <f t="shared" si="6"/>
        <v>10000</v>
      </c>
      <c r="AH27" s="67">
        <v>0</v>
      </c>
      <c r="AI27" s="67">
        <f t="shared" si="7"/>
        <v>35000</v>
      </c>
      <c r="AJ27" s="67">
        <f t="shared" si="8"/>
        <v>0</v>
      </c>
      <c r="AK27" s="67">
        <f t="shared" si="9"/>
        <v>0</v>
      </c>
      <c r="AL27" s="67">
        <f t="shared" si="10"/>
        <v>0</v>
      </c>
      <c r="AM27" s="67">
        <f>IF((AI27)&gt;25000,200,IF((AI27)&gt;7500,0,0))</f>
        <v>200</v>
      </c>
      <c r="AN27" s="69">
        <v>0</v>
      </c>
      <c r="AO27" s="67">
        <v>0</v>
      </c>
      <c r="AP27" s="67"/>
      <c r="AQ27" s="67">
        <f t="shared" si="11"/>
        <v>34800</v>
      </c>
      <c r="AR27" s="70" t="s">
        <v>197</v>
      </c>
      <c r="AS27" s="62" t="s">
        <v>214</v>
      </c>
      <c r="AT27" s="62" t="s">
        <v>191</v>
      </c>
      <c r="AU27" s="64" t="s">
        <v>299</v>
      </c>
      <c r="AV27" s="62" t="s">
        <v>300</v>
      </c>
      <c r="AW27" s="68" t="s">
        <v>711</v>
      </c>
      <c r="AX27" s="71">
        <f t="shared" si="24"/>
        <v>0</v>
      </c>
      <c r="AY27" s="71">
        <f t="shared" si="25"/>
        <v>0</v>
      </c>
      <c r="AZ27" s="71">
        <f t="shared" si="26"/>
        <v>0</v>
      </c>
      <c r="BA27" s="71">
        <f t="shared" si="27"/>
        <v>0</v>
      </c>
      <c r="BB27" s="71"/>
      <c r="BC27" s="71">
        <f t="shared" si="28"/>
        <v>0</v>
      </c>
      <c r="BD27" s="71">
        <f t="shared" si="29"/>
        <v>0</v>
      </c>
      <c r="BE27" s="71">
        <f t="shared" si="30"/>
        <v>0</v>
      </c>
      <c r="BF27" s="71">
        <f t="shared" si="31"/>
        <v>0</v>
      </c>
      <c r="BG27" s="71">
        <f t="shared" si="20"/>
        <v>35000</v>
      </c>
      <c r="BH27" s="71"/>
      <c r="BI27" s="71"/>
      <c r="BJ27" s="62"/>
      <c r="BK27" s="72">
        <f t="shared" si="32"/>
        <v>83</v>
      </c>
      <c r="BL27" s="62" t="s">
        <v>30</v>
      </c>
      <c r="BM27" s="64"/>
      <c r="BN27" s="66">
        <v>45383</v>
      </c>
      <c r="BO27" s="62" t="s">
        <v>295</v>
      </c>
    </row>
    <row r="28" spans="1:67" s="74" customFormat="1" ht="18" customHeight="1" x14ac:dyDescent="0.3">
      <c r="A28" s="62">
        <v>21</v>
      </c>
      <c r="B28" s="62" t="s">
        <v>537</v>
      </c>
      <c r="C28" s="62" t="s">
        <v>354</v>
      </c>
      <c r="D28" s="62"/>
      <c r="E28" s="48" t="s">
        <v>59</v>
      </c>
      <c r="F28" s="38">
        <v>31392</v>
      </c>
      <c r="G28" s="44" t="s">
        <v>355</v>
      </c>
      <c r="H28" s="44" t="s">
        <v>101</v>
      </c>
      <c r="I28" s="64" t="s">
        <v>356</v>
      </c>
      <c r="J28" s="44" t="s">
        <v>353</v>
      </c>
      <c r="K28" s="44">
        <v>9423422864</v>
      </c>
      <c r="L28" s="42" t="s">
        <v>357</v>
      </c>
      <c r="M28" s="44" t="s">
        <v>358</v>
      </c>
      <c r="N28" s="41">
        <v>43570</v>
      </c>
      <c r="O28" s="44" t="s">
        <v>232</v>
      </c>
      <c r="P28" s="44" t="s">
        <v>214</v>
      </c>
      <c r="Q28" s="62" t="s">
        <v>257</v>
      </c>
      <c r="R28" s="62" t="s">
        <v>43</v>
      </c>
      <c r="S28" s="62" t="s">
        <v>30</v>
      </c>
      <c r="T28" s="62" t="s">
        <v>30</v>
      </c>
      <c r="U28" s="67">
        <v>172000</v>
      </c>
      <c r="V28" s="68">
        <v>30</v>
      </c>
      <c r="W28" s="68">
        <v>0</v>
      </c>
      <c r="X28" s="68">
        <f>V28-W28</f>
        <v>30</v>
      </c>
      <c r="Y28" s="67">
        <f t="shared" si="1"/>
        <v>5733.333333333333</v>
      </c>
      <c r="Z28" s="67">
        <f t="shared" si="2"/>
        <v>172000</v>
      </c>
      <c r="AA28" s="67">
        <v>30000</v>
      </c>
      <c r="AB28" s="67">
        <f>+AA28/2</f>
        <v>15000</v>
      </c>
      <c r="AC28" s="67">
        <f t="shared" si="33"/>
        <v>127000</v>
      </c>
      <c r="AD28" s="67">
        <f t="shared" si="3"/>
        <v>172000</v>
      </c>
      <c r="AE28" s="67">
        <f t="shared" si="4"/>
        <v>30000</v>
      </c>
      <c r="AF28" s="67">
        <f t="shared" si="5"/>
        <v>15000</v>
      </c>
      <c r="AG28" s="67">
        <f t="shared" si="6"/>
        <v>127000</v>
      </c>
      <c r="AH28" s="67"/>
      <c r="AI28" s="67">
        <f t="shared" si="7"/>
        <v>172000</v>
      </c>
      <c r="AJ28" s="67">
        <f t="shared" si="8"/>
        <v>0</v>
      </c>
      <c r="AK28" s="67">
        <f t="shared" si="9"/>
        <v>0</v>
      </c>
      <c r="AL28" s="67">
        <f t="shared" si="10"/>
        <v>0</v>
      </c>
      <c r="AM28" s="67"/>
      <c r="AN28" s="69">
        <v>0</v>
      </c>
      <c r="AO28" s="67">
        <f>+AI28*2%</f>
        <v>3440</v>
      </c>
      <c r="AP28" s="67"/>
      <c r="AQ28" s="67">
        <f t="shared" si="11"/>
        <v>168560</v>
      </c>
      <c r="AR28" s="70" t="s">
        <v>311</v>
      </c>
      <c r="AS28" s="62" t="s">
        <v>214</v>
      </c>
      <c r="AT28" s="62" t="s">
        <v>331</v>
      </c>
      <c r="AU28" s="82" t="s">
        <v>359</v>
      </c>
      <c r="AV28" s="62" t="s">
        <v>360</v>
      </c>
      <c r="AW28" s="68" t="s">
        <v>712</v>
      </c>
      <c r="AX28" s="71">
        <f t="shared" si="24"/>
        <v>0</v>
      </c>
      <c r="AY28" s="71">
        <f t="shared" si="25"/>
        <v>0</v>
      </c>
      <c r="AZ28" s="71">
        <f t="shared" si="26"/>
        <v>0</v>
      </c>
      <c r="BA28" s="71">
        <f t="shared" si="27"/>
        <v>0</v>
      </c>
      <c r="BB28" s="71"/>
      <c r="BC28" s="71">
        <f t="shared" si="28"/>
        <v>0</v>
      </c>
      <c r="BD28" s="71">
        <f t="shared" si="29"/>
        <v>0</v>
      </c>
      <c r="BE28" s="71">
        <f t="shared" si="30"/>
        <v>0</v>
      </c>
      <c r="BF28" s="71">
        <f t="shared" si="31"/>
        <v>0</v>
      </c>
      <c r="BG28" s="71">
        <f t="shared" si="20"/>
        <v>172000</v>
      </c>
      <c r="BH28" s="71"/>
      <c r="BI28" s="71"/>
      <c r="BJ28" s="62"/>
      <c r="BK28" s="72">
        <f t="shared" si="32"/>
        <v>83</v>
      </c>
      <c r="BL28" s="76" t="s">
        <v>361</v>
      </c>
      <c r="BM28" s="62"/>
      <c r="BN28" s="66">
        <v>45323</v>
      </c>
      <c r="BO28" s="62" t="s">
        <v>291</v>
      </c>
    </row>
    <row r="29" spans="1:67" s="74" customFormat="1" ht="16.5" hidden="1" customHeight="1" x14ac:dyDescent="0.3">
      <c r="A29" s="62">
        <v>23</v>
      </c>
      <c r="B29" s="62" t="s">
        <v>538</v>
      </c>
      <c r="C29" s="62" t="s">
        <v>285</v>
      </c>
      <c r="D29" s="62" t="s">
        <v>499</v>
      </c>
      <c r="E29" s="48" t="s">
        <v>59</v>
      </c>
      <c r="F29" s="38">
        <v>31379</v>
      </c>
      <c r="G29" s="44" t="s">
        <v>132</v>
      </c>
      <c r="H29" s="44"/>
      <c r="I29" s="44" t="s">
        <v>133</v>
      </c>
      <c r="J29" s="39" t="s">
        <v>134</v>
      </c>
      <c r="K29" s="44">
        <v>9920422601</v>
      </c>
      <c r="L29" s="59">
        <v>735709531809</v>
      </c>
      <c r="M29" s="44" t="s">
        <v>135</v>
      </c>
      <c r="N29" s="41">
        <v>43466</v>
      </c>
      <c r="O29" s="44" t="s">
        <v>44</v>
      </c>
      <c r="P29" s="44" t="s">
        <v>38</v>
      </c>
      <c r="Q29" s="62" t="s">
        <v>40</v>
      </c>
      <c r="R29" s="62" t="s">
        <v>42</v>
      </c>
      <c r="S29" s="62" t="s">
        <v>30</v>
      </c>
      <c r="T29" s="62" t="s">
        <v>30</v>
      </c>
      <c r="U29" s="67">
        <v>12000</v>
      </c>
      <c r="V29" s="68">
        <v>30</v>
      </c>
      <c r="W29" s="68">
        <v>0</v>
      </c>
      <c r="X29" s="68">
        <f>+V29-W29</f>
        <v>30</v>
      </c>
      <c r="Y29" s="67">
        <f t="shared" si="1"/>
        <v>400</v>
      </c>
      <c r="Z29" s="67">
        <f t="shared" si="2"/>
        <v>12000</v>
      </c>
      <c r="AA29" s="67">
        <f>+U29</f>
        <v>12000</v>
      </c>
      <c r="AB29" s="67">
        <v>0</v>
      </c>
      <c r="AC29" s="67">
        <f t="shared" si="33"/>
        <v>0</v>
      </c>
      <c r="AD29" s="67">
        <f t="shared" si="3"/>
        <v>12000</v>
      </c>
      <c r="AE29" s="67">
        <f t="shared" si="4"/>
        <v>12000</v>
      </c>
      <c r="AF29" s="67">
        <f t="shared" si="5"/>
        <v>0</v>
      </c>
      <c r="AG29" s="67">
        <f t="shared" si="6"/>
        <v>0</v>
      </c>
      <c r="AH29" s="67"/>
      <c r="AI29" s="67">
        <f t="shared" si="7"/>
        <v>12000</v>
      </c>
      <c r="AJ29" s="67">
        <f t="shared" si="8"/>
        <v>0</v>
      </c>
      <c r="AK29" s="67">
        <f t="shared" si="9"/>
        <v>0</v>
      </c>
      <c r="AL29" s="67">
        <f t="shared" si="10"/>
        <v>0</v>
      </c>
      <c r="AM29" s="67">
        <f>IF((AI29)&gt;10000,200,IF((AI29)&gt;7500,175,0))</f>
        <v>200</v>
      </c>
      <c r="AN29" s="69">
        <v>0</v>
      </c>
      <c r="AO29" s="67">
        <v>0</v>
      </c>
      <c r="AP29" s="67"/>
      <c r="AQ29" s="67">
        <f t="shared" si="11"/>
        <v>11800</v>
      </c>
      <c r="AR29" s="70" t="s">
        <v>197</v>
      </c>
      <c r="AS29" s="62" t="s">
        <v>38</v>
      </c>
      <c r="AT29" s="62" t="s">
        <v>178</v>
      </c>
      <c r="AU29" s="64" t="s">
        <v>288</v>
      </c>
      <c r="AV29" s="62" t="s">
        <v>182</v>
      </c>
      <c r="AW29" s="68" t="s">
        <v>713</v>
      </c>
      <c r="AX29" s="71">
        <f t="shared" si="24"/>
        <v>0</v>
      </c>
      <c r="AY29" s="71">
        <f t="shared" si="25"/>
        <v>0</v>
      </c>
      <c r="AZ29" s="71">
        <f t="shared" si="26"/>
        <v>0</v>
      </c>
      <c r="BA29" s="71">
        <f t="shared" si="27"/>
        <v>0</v>
      </c>
      <c r="BB29" s="71"/>
      <c r="BC29" s="71">
        <f t="shared" si="28"/>
        <v>0</v>
      </c>
      <c r="BD29" s="71">
        <f t="shared" si="29"/>
        <v>0</v>
      </c>
      <c r="BE29" s="71">
        <f t="shared" si="30"/>
        <v>0</v>
      </c>
      <c r="BF29" s="71">
        <f t="shared" si="31"/>
        <v>0</v>
      </c>
      <c r="BG29" s="71">
        <f t="shared" si="20"/>
        <v>12000</v>
      </c>
      <c r="BH29" s="71"/>
      <c r="BI29" s="71"/>
      <c r="BJ29" s="62"/>
      <c r="BK29" s="72">
        <f t="shared" si="32"/>
        <v>86</v>
      </c>
      <c r="BL29" s="62" t="s">
        <v>222</v>
      </c>
      <c r="BM29" s="62"/>
      <c r="BN29" s="66">
        <v>45566</v>
      </c>
      <c r="BO29" s="62" t="s">
        <v>293</v>
      </c>
    </row>
    <row r="30" spans="1:67" s="74" customFormat="1" hidden="1" x14ac:dyDescent="0.3">
      <c r="A30" s="62">
        <v>24</v>
      </c>
      <c r="B30" s="62" t="s">
        <v>539</v>
      </c>
      <c r="C30" s="62" t="s">
        <v>284</v>
      </c>
      <c r="D30" s="62"/>
      <c r="E30" s="48" t="s">
        <v>59</v>
      </c>
      <c r="F30" s="38">
        <v>27662</v>
      </c>
      <c r="G30" s="44" t="s">
        <v>102</v>
      </c>
      <c r="H30" s="44" t="s">
        <v>101</v>
      </c>
      <c r="I30" s="44" t="s">
        <v>77</v>
      </c>
      <c r="J30" s="44" t="s">
        <v>78</v>
      </c>
      <c r="K30" s="44">
        <v>9920671405</v>
      </c>
      <c r="L30" s="42" t="s">
        <v>79</v>
      </c>
      <c r="M30" s="44" t="s">
        <v>80</v>
      </c>
      <c r="N30" s="41">
        <v>43018</v>
      </c>
      <c r="O30" s="44" t="s">
        <v>46</v>
      </c>
      <c r="P30" s="44" t="s">
        <v>39</v>
      </c>
      <c r="Q30" s="62" t="s">
        <v>40</v>
      </c>
      <c r="R30" s="62" t="s">
        <v>43</v>
      </c>
      <c r="S30" s="62" t="s">
        <v>31</v>
      </c>
      <c r="T30" s="62" t="s">
        <v>31</v>
      </c>
      <c r="U30" s="67">
        <v>17500</v>
      </c>
      <c r="V30" s="68">
        <v>30</v>
      </c>
      <c r="W30" s="68">
        <v>0</v>
      </c>
      <c r="X30" s="68">
        <f>+V30-W30</f>
        <v>30</v>
      </c>
      <c r="Y30" s="67">
        <f t="shared" si="1"/>
        <v>583.33333333333337</v>
      </c>
      <c r="Z30" s="67">
        <f t="shared" si="2"/>
        <v>17500</v>
      </c>
      <c r="AA30" s="67">
        <v>13000</v>
      </c>
      <c r="AB30" s="67">
        <v>0</v>
      </c>
      <c r="AC30" s="67">
        <f t="shared" si="33"/>
        <v>4500</v>
      </c>
      <c r="AD30" s="67">
        <f t="shared" si="3"/>
        <v>17500</v>
      </c>
      <c r="AE30" s="67">
        <f t="shared" si="4"/>
        <v>13000</v>
      </c>
      <c r="AF30" s="67">
        <f t="shared" si="5"/>
        <v>0</v>
      </c>
      <c r="AG30" s="67">
        <f t="shared" si="6"/>
        <v>4500</v>
      </c>
      <c r="AH30" s="67"/>
      <c r="AI30" s="67">
        <f t="shared" si="7"/>
        <v>17500</v>
      </c>
      <c r="AJ30" s="67">
        <f t="shared" si="8"/>
        <v>0</v>
      </c>
      <c r="AK30" s="67">
        <f t="shared" si="9"/>
        <v>1560</v>
      </c>
      <c r="AL30" s="67">
        <f t="shared" si="10"/>
        <v>131.25</v>
      </c>
      <c r="AM30" s="67">
        <f>IF((AI30)&gt;10000,200,IF((AI30)&gt;7500,175,0))</f>
        <v>200</v>
      </c>
      <c r="AN30" s="69">
        <v>0</v>
      </c>
      <c r="AO30" s="67">
        <v>0</v>
      </c>
      <c r="AP30" s="67"/>
      <c r="AQ30" s="67">
        <f t="shared" si="11"/>
        <v>15609</v>
      </c>
      <c r="AR30" s="70" t="s">
        <v>197</v>
      </c>
      <c r="AS30" s="62" t="s">
        <v>38</v>
      </c>
      <c r="AT30" s="62" t="s">
        <v>178</v>
      </c>
      <c r="AU30" s="64" t="s">
        <v>287</v>
      </c>
      <c r="AV30" s="62" t="s">
        <v>182</v>
      </c>
      <c r="AW30" s="68" t="s">
        <v>714</v>
      </c>
      <c r="AX30" s="71">
        <f t="shared" si="24"/>
        <v>13000</v>
      </c>
      <c r="AY30" s="71">
        <f t="shared" si="25"/>
        <v>1560</v>
      </c>
      <c r="AZ30" s="71">
        <f t="shared" si="26"/>
        <v>477</v>
      </c>
      <c r="BA30" s="71">
        <f t="shared" si="27"/>
        <v>1083</v>
      </c>
      <c r="BB30" s="71"/>
      <c r="BC30" s="71">
        <f t="shared" si="28"/>
        <v>17500</v>
      </c>
      <c r="BD30" s="71">
        <f t="shared" si="29"/>
        <v>132</v>
      </c>
      <c r="BE30" s="71">
        <f t="shared" si="30"/>
        <v>569</v>
      </c>
      <c r="BF30" s="71">
        <f t="shared" si="31"/>
        <v>701</v>
      </c>
      <c r="BG30" s="71">
        <f t="shared" si="20"/>
        <v>19629</v>
      </c>
      <c r="BH30" s="71"/>
      <c r="BI30" s="71"/>
      <c r="BJ30" s="62"/>
      <c r="BK30" s="72">
        <f t="shared" si="32"/>
        <v>101</v>
      </c>
      <c r="BL30" s="62" t="s">
        <v>164</v>
      </c>
      <c r="BM30" s="62" t="s">
        <v>163</v>
      </c>
      <c r="BN30" s="68" t="s">
        <v>298</v>
      </c>
      <c r="BO30" s="62" t="s">
        <v>290</v>
      </c>
    </row>
    <row r="31" spans="1:67" s="74" customFormat="1" hidden="1" x14ac:dyDescent="0.3">
      <c r="A31" s="62">
        <v>25</v>
      </c>
      <c r="B31" s="62" t="s">
        <v>540</v>
      </c>
      <c r="C31" s="62" t="s">
        <v>363</v>
      </c>
      <c r="D31" s="62" t="s">
        <v>566</v>
      </c>
      <c r="E31" s="48" t="s">
        <v>59</v>
      </c>
      <c r="F31" s="38">
        <v>36084</v>
      </c>
      <c r="G31" s="44" t="s">
        <v>362</v>
      </c>
      <c r="H31" s="44" t="s">
        <v>100</v>
      </c>
      <c r="I31" s="64" t="s">
        <v>364</v>
      </c>
      <c r="J31" s="39" t="s">
        <v>365</v>
      </c>
      <c r="K31" s="44">
        <v>9819082094</v>
      </c>
      <c r="L31" s="42" t="s">
        <v>366</v>
      </c>
      <c r="M31" s="44" t="s">
        <v>367</v>
      </c>
      <c r="N31" s="41">
        <v>43313</v>
      </c>
      <c r="O31" s="44" t="s">
        <v>45</v>
      </c>
      <c r="P31" s="44" t="s">
        <v>38</v>
      </c>
      <c r="Q31" s="62" t="s">
        <v>40</v>
      </c>
      <c r="R31" s="62" t="s">
        <v>42</v>
      </c>
      <c r="S31" s="62" t="s">
        <v>30</v>
      </c>
      <c r="T31" s="62" t="s">
        <v>30</v>
      </c>
      <c r="U31" s="67">
        <v>22000</v>
      </c>
      <c r="V31" s="68">
        <v>30</v>
      </c>
      <c r="W31" s="68">
        <v>0</v>
      </c>
      <c r="X31" s="72">
        <f>+V31-W31</f>
        <v>30</v>
      </c>
      <c r="Y31" s="67">
        <f t="shared" si="1"/>
        <v>733.33333333333337</v>
      </c>
      <c r="Z31" s="67">
        <f t="shared" si="2"/>
        <v>22000</v>
      </c>
      <c r="AA31" s="67">
        <v>16000</v>
      </c>
      <c r="AB31" s="67">
        <v>0</v>
      </c>
      <c r="AC31" s="67">
        <f t="shared" si="33"/>
        <v>6000</v>
      </c>
      <c r="AD31" s="67">
        <f t="shared" si="3"/>
        <v>22000</v>
      </c>
      <c r="AE31" s="67">
        <f t="shared" si="4"/>
        <v>16000</v>
      </c>
      <c r="AF31" s="67">
        <f t="shared" si="5"/>
        <v>0</v>
      </c>
      <c r="AG31" s="67">
        <f t="shared" si="6"/>
        <v>6000</v>
      </c>
      <c r="AH31" s="67"/>
      <c r="AI31" s="67">
        <f t="shared" si="7"/>
        <v>22000</v>
      </c>
      <c r="AJ31" s="67">
        <f t="shared" si="8"/>
        <v>0</v>
      </c>
      <c r="AK31" s="67">
        <f t="shared" si="9"/>
        <v>0</v>
      </c>
      <c r="AL31" s="67">
        <f t="shared" si="10"/>
        <v>0</v>
      </c>
      <c r="AM31" s="67"/>
      <c r="AN31" s="69">
        <v>0</v>
      </c>
      <c r="AO31" s="67">
        <f>+AI31*2%</f>
        <v>440</v>
      </c>
      <c r="AP31" s="67"/>
      <c r="AQ31" s="67">
        <f t="shared" si="11"/>
        <v>21560</v>
      </c>
      <c r="AR31" s="70" t="s">
        <v>311</v>
      </c>
      <c r="AS31" s="62" t="s">
        <v>38</v>
      </c>
      <c r="AT31" s="62" t="s">
        <v>178</v>
      </c>
      <c r="AU31" s="65" t="s">
        <v>368</v>
      </c>
      <c r="AV31" s="62" t="s">
        <v>182</v>
      </c>
      <c r="AW31" s="68" t="s">
        <v>715</v>
      </c>
      <c r="AX31" s="71">
        <f t="shared" si="24"/>
        <v>0</v>
      </c>
      <c r="AY31" s="71">
        <f t="shared" si="25"/>
        <v>0</v>
      </c>
      <c r="AZ31" s="71">
        <f t="shared" si="26"/>
        <v>0</v>
      </c>
      <c r="BA31" s="71">
        <f t="shared" si="27"/>
        <v>0</v>
      </c>
      <c r="BB31" s="71"/>
      <c r="BC31" s="71">
        <f t="shared" si="28"/>
        <v>0</v>
      </c>
      <c r="BD31" s="71">
        <f t="shared" si="29"/>
        <v>0</v>
      </c>
      <c r="BE31" s="71">
        <f t="shared" si="30"/>
        <v>0</v>
      </c>
      <c r="BF31" s="71">
        <f t="shared" si="31"/>
        <v>0</v>
      </c>
      <c r="BG31" s="71">
        <f t="shared" si="20"/>
        <v>22000</v>
      </c>
      <c r="BH31" s="71"/>
      <c r="BI31" s="71"/>
      <c r="BJ31" s="62"/>
      <c r="BK31" s="72">
        <f t="shared" si="32"/>
        <v>91</v>
      </c>
      <c r="BL31" s="76" t="s">
        <v>369</v>
      </c>
      <c r="BM31" s="62" t="s">
        <v>163</v>
      </c>
      <c r="BN31" s="68" t="s">
        <v>298</v>
      </c>
      <c r="BO31" s="62" t="s">
        <v>291</v>
      </c>
    </row>
    <row r="32" spans="1:67" s="74" customFormat="1" ht="15" hidden="1" customHeight="1" x14ac:dyDescent="0.3">
      <c r="A32" s="62">
        <v>26</v>
      </c>
      <c r="B32" s="62" t="s">
        <v>541</v>
      </c>
      <c r="C32" s="77" t="s">
        <v>323</v>
      </c>
      <c r="D32" s="62" t="s">
        <v>499</v>
      </c>
      <c r="E32" s="48" t="s">
        <v>59</v>
      </c>
      <c r="F32" s="38">
        <v>31731</v>
      </c>
      <c r="G32" s="44" t="s">
        <v>324</v>
      </c>
      <c r="H32" s="44" t="s">
        <v>101</v>
      </c>
      <c r="I32" s="64" t="s">
        <v>325</v>
      </c>
      <c r="J32" s="39" t="s">
        <v>326</v>
      </c>
      <c r="K32" s="44">
        <v>9619460130</v>
      </c>
      <c r="L32" s="58" t="s">
        <v>327</v>
      </c>
      <c r="M32" s="44" t="s">
        <v>328</v>
      </c>
      <c r="N32" s="41">
        <v>44994</v>
      </c>
      <c r="O32" s="44" t="s">
        <v>44</v>
      </c>
      <c r="P32" s="44" t="s">
        <v>38</v>
      </c>
      <c r="Q32" s="62" t="s">
        <v>40</v>
      </c>
      <c r="R32" s="62" t="s">
        <v>42</v>
      </c>
      <c r="S32" s="62" t="s">
        <v>30</v>
      </c>
      <c r="T32" s="62" t="s">
        <v>30</v>
      </c>
      <c r="U32" s="67">
        <v>25000</v>
      </c>
      <c r="V32" s="68">
        <v>30</v>
      </c>
      <c r="W32" s="68">
        <v>0</v>
      </c>
      <c r="X32" s="68">
        <f>+V32-W32</f>
        <v>30</v>
      </c>
      <c r="Y32" s="67">
        <f t="shared" si="1"/>
        <v>833.33333333333337</v>
      </c>
      <c r="Z32" s="67">
        <f t="shared" si="2"/>
        <v>25000</v>
      </c>
      <c r="AA32" s="67">
        <v>20000</v>
      </c>
      <c r="AB32" s="67">
        <v>2000</v>
      </c>
      <c r="AC32" s="67">
        <f t="shared" si="33"/>
        <v>3000</v>
      </c>
      <c r="AD32" s="67">
        <f t="shared" si="3"/>
        <v>25000</v>
      </c>
      <c r="AE32" s="67">
        <f t="shared" si="4"/>
        <v>20000</v>
      </c>
      <c r="AF32" s="67">
        <f t="shared" si="5"/>
        <v>2000</v>
      </c>
      <c r="AG32" s="67">
        <f t="shared" si="6"/>
        <v>3000</v>
      </c>
      <c r="AH32" s="67">
        <v>0</v>
      </c>
      <c r="AI32" s="67">
        <f t="shared" si="7"/>
        <v>25000</v>
      </c>
      <c r="AJ32" s="67">
        <f t="shared" si="8"/>
        <v>0</v>
      </c>
      <c r="AK32" s="67">
        <f t="shared" si="9"/>
        <v>0</v>
      </c>
      <c r="AL32" s="67">
        <f t="shared" si="10"/>
        <v>0</v>
      </c>
      <c r="AM32" s="67"/>
      <c r="AN32" s="69">
        <v>0</v>
      </c>
      <c r="AO32" s="67">
        <f>+AI32*2%</f>
        <v>500</v>
      </c>
      <c r="AP32" s="67"/>
      <c r="AQ32" s="67">
        <f t="shared" si="11"/>
        <v>24500</v>
      </c>
      <c r="AR32" s="70" t="s">
        <v>311</v>
      </c>
      <c r="AS32" s="62" t="s">
        <v>38</v>
      </c>
      <c r="AT32" s="62" t="s">
        <v>178</v>
      </c>
      <c r="AU32" s="75" t="s">
        <v>329</v>
      </c>
      <c r="AV32" s="62" t="s">
        <v>182</v>
      </c>
      <c r="AW32" s="68" t="s">
        <v>716</v>
      </c>
      <c r="AX32" s="71">
        <f t="shared" si="24"/>
        <v>0</v>
      </c>
      <c r="AY32" s="71">
        <f t="shared" si="25"/>
        <v>0</v>
      </c>
      <c r="AZ32" s="71">
        <f t="shared" si="26"/>
        <v>0</v>
      </c>
      <c r="BA32" s="71">
        <f t="shared" si="27"/>
        <v>0</v>
      </c>
      <c r="BB32" s="71"/>
      <c r="BC32" s="71">
        <f t="shared" si="28"/>
        <v>0</v>
      </c>
      <c r="BD32" s="71">
        <f t="shared" si="29"/>
        <v>0</v>
      </c>
      <c r="BE32" s="71">
        <f t="shared" si="30"/>
        <v>0</v>
      </c>
      <c r="BF32" s="71">
        <f t="shared" si="31"/>
        <v>0</v>
      </c>
      <c r="BG32" s="71">
        <f t="shared" si="20"/>
        <v>25000</v>
      </c>
      <c r="BH32" s="71"/>
      <c r="BI32" s="71"/>
      <c r="BJ32" s="62"/>
      <c r="BK32" s="72">
        <f t="shared" si="32"/>
        <v>36</v>
      </c>
      <c r="BL32" s="62" t="s">
        <v>330</v>
      </c>
      <c r="BM32" s="62"/>
      <c r="BN32" s="68" t="s">
        <v>298</v>
      </c>
      <c r="BO32" s="62" t="s">
        <v>291</v>
      </c>
    </row>
    <row r="33" spans="1:67" s="74" customFormat="1" hidden="1" x14ac:dyDescent="0.3">
      <c r="A33" s="62">
        <v>27</v>
      </c>
      <c r="B33" s="62" t="s">
        <v>542</v>
      </c>
      <c r="C33" s="62" t="s">
        <v>272</v>
      </c>
      <c r="D33" s="62"/>
      <c r="E33" s="48" t="s">
        <v>59</v>
      </c>
      <c r="F33" s="38">
        <v>33843</v>
      </c>
      <c r="G33" s="44" t="s">
        <v>273</v>
      </c>
      <c r="H33" s="44" t="s">
        <v>101</v>
      </c>
      <c r="I33" s="44" t="s">
        <v>274</v>
      </c>
      <c r="J33" s="44" t="s">
        <v>275</v>
      </c>
      <c r="K33" s="44">
        <v>9819672177</v>
      </c>
      <c r="L33" s="42" t="s">
        <v>276</v>
      </c>
      <c r="M33" s="44" t="s">
        <v>277</v>
      </c>
      <c r="N33" s="41">
        <v>45200</v>
      </c>
      <c r="O33" s="44" t="s">
        <v>232</v>
      </c>
      <c r="P33" s="44" t="s">
        <v>214</v>
      </c>
      <c r="Q33" s="62" t="s">
        <v>271</v>
      </c>
      <c r="R33" s="62" t="s">
        <v>42</v>
      </c>
      <c r="S33" s="62" t="s">
        <v>30</v>
      </c>
      <c r="T33" s="62" t="s">
        <v>30</v>
      </c>
      <c r="U33" s="67">
        <v>35000</v>
      </c>
      <c r="V33" s="68">
        <v>30</v>
      </c>
      <c r="W33" s="68">
        <v>0</v>
      </c>
      <c r="X33" s="68">
        <f>+V33-W33</f>
        <v>30</v>
      </c>
      <c r="Y33" s="67">
        <f t="shared" si="1"/>
        <v>1166.6666666666667</v>
      </c>
      <c r="Z33" s="67">
        <f t="shared" si="2"/>
        <v>35000</v>
      </c>
      <c r="AA33" s="67">
        <v>20000</v>
      </c>
      <c r="AB33" s="67">
        <f>+AA33/2</f>
        <v>10000</v>
      </c>
      <c r="AC33" s="67">
        <f t="shared" si="33"/>
        <v>5000</v>
      </c>
      <c r="AD33" s="67">
        <f t="shared" si="3"/>
        <v>35000</v>
      </c>
      <c r="AE33" s="67">
        <f t="shared" si="4"/>
        <v>20000</v>
      </c>
      <c r="AF33" s="67">
        <f t="shared" si="5"/>
        <v>10000</v>
      </c>
      <c r="AG33" s="67">
        <f t="shared" si="6"/>
        <v>5000</v>
      </c>
      <c r="AH33" s="67"/>
      <c r="AI33" s="67">
        <f t="shared" si="7"/>
        <v>35000</v>
      </c>
      <c r="AJ33" s="67">
        <f t="shared" si="8"/>
        <v>0</v>
      </c>
      <c r="AK33" s="67">
        <f t="shared" si="9"/>
        <v>0</v>
      </c>
      <c r="AL33" s="67">
        <f t="shared" si="10"/>
        <v>0</v>
      </c>
      <c r="AM33" s="67">
        <f>IF((AI33)&gt;10000,200,IF((AI33)&gt;7500,175,0))</f>
        <v>200</v>
      </c>
      <c r="AN33" s="69">
        <v>0</v>
      </c>
      <c r="AO33" s="67">
        <v>0</v>
      </c>
      <c r="AP33" s="67"/>
      <c r="AQ33" s="67">
        <f t="shared" si="11"/>
        <v>34800</v>
      </c>
      <c r="AR33" s="70" t="s">
        <v>197</v>
      </c>
      <c r="AS33" s="62" t="s">
        <v>214</v>
      </c>
      <c r="AT33" s="62" t="s">
        <v>178</v>
      </c>
      <c r="AU33" s="80" t="s">
        <v>283</v>
      </c>
      <c r="AV33" s="62" t="s">
        <v>182</v>
      </c>
      <c r="AW33" s="68" t="s">
        <v>717</v>
      </c>
      <c r="AX33" s="62">
        <f t="shared" si="24"/>
        <v>0</v>
      </c>
      <c r="AY33" s="62">
        <f t="shared" si="25"/>
        <v>0</v>
      </c>
      <c r="AZ33" s="62">
        <f t="shared" si="26"/>
        <v>0</v>
      </c>
      <c r="BA33" s="62">
        <f t="shared" si="27"/>
        <v>0</v>
      </c>
      <c r="BB33" s="62"/>
      <c r="BC33" s="62">
        <f t="shared" si="28"/>
        <v>0</v>
      </c>
      <c r="BD33" s="62">
        <f t="shared" si="29"/>
        <v>0</v>
      </c>
      <c r="BE33" s="62">
        <f t="shared" si="30"/>
        <v>0</v>
      </c>
      <c r="BF33" s="62">
        <f t="shared" si="31"/>
        <v>0</v>
      </c>
      <c r="BG33" s="71">
        <f t="shared" si="20"/>
        <v>35000</v>
      </c>
      <c r="BH33" s="71"/>
      <c r="BI33" s="62"/>
      <c r="BJ33" s="62"/>
      <c r="BK33" s="72">
        <f t="shared" si="32"/>
        <v>29</v>
      </c>
      <c r="BL33" s="62" t="e">
        <v>#N/A</v>
      </c>
      <c r="BM33" s="62"/>
      <c r="BN33" s="66">
        <v>45383</v>
      </c>
      <c r="BO33" s="62" t="s">
        <v>295</v>
      </c>
    </row>
    <row r="34" spans="1:67" s="74" customFormat="1" x14ac:dyDescent="0.3">
      <c r="A34" s="62">
        <v>28</v>
      </c>
      <c r="B34" s="62" t="s">
        <v>543</v>
      </c>
      <c r="C34" s="62" t="s">
        <v>370</v>
      </c>
      <c r="D34" s="62"/>
      <c r="E34" s="48" t="s">
        <v>60</v>
      </c>
      <c r="F34" s="38">
        <v>35411</v>
      </c>
      <c r="G34" s="44" t="s">
        <v>371</v>
      </c>
      <c r="H34" s="44" t="s">
        <v>100</v>
      </c>
      <c r="I34" s="64" t="s">
        <v>372</v>
      </c>
      <c r="J34" s="44" t="s">
        <v>373</v>
      </c>
      <c r="K34" s="44" t="s">
        <v>374</v>
      </c>
      <c r="L34" s="58" t="s">
        <v>375</v>
      </c>
      <c r="M34" s="44" t="s">
        <v>376</v>
      </c>
      <c r="N34" s="41">
        <v>44986</v>
      </c>
      <c r="O34" s="44" t="s">
        <v>224</v>
      </c>
      <c r="P34" s="44" t="s">
        <v>214</v>
      </c>
      <c r="Q34" s="62" t="s">
        <v>271</v>
      </c>
      <c r="R34" s="62" t="s">
        <v>42</v>
      </c>
      <c r="S34" s="62" t="s">
        <v>30</v>
      </c>
      <c r="T34" s="62" t="s">
        <v>30</v>
      </c>
      <c r="U34" s="67">
        <v>20000</v>
      </c>
      <c r="V34" s="68">
        <v>30</v>
      </c>
      <c r="W34" s="68">
        <v>0</v>
      </c>
      <c r="X34" s="68">
        <f>V34-W34</f>
        <v>30</v>
      </c>
      <c r="Y34" s="67">
        <f t="shared" si="1"/>
        <v>666.66666666666663</v>
      </c>
      <c r="Z34" s="67">
        <f t="shared" si="2"/>
        <v>20000</v>
      </c>
      <c r="AA34" s="67">
        <v>16000</v>
      </c>
      <c r="AB34" s="67">
        <v>0</v>
      </c>
      <c r="AC34" s="67">
        <f t="shared" si="33"/>
        <v>4000</v>
      </c>
      <c r="AD34" s="67">
        <f t="shared" si="3"/>
        <v>20000</v>
      </c>
      <c r="AE34" s="67">
        <f t="shared" si="4"/>
        <v>16000</v>
      </c>
      <c r="AF34" s="67">
        <f t="shared" si="5"/>
        <v>0</v>
      </c>
      <c r="AG34" s="67">
        <f t="shared" si="6"/>
        <v>4000</v>
      </c>
      <c r="AH34" s="67"/>
      <c r="AI34" s="67">
        <f t="shared" si="7"/>
        <v>20000</v>
      </c>
      <c r="AJ34" s="67">
        <f t="shared" si="8"/>
        <v>0</v>
      </c>
      <c r="AK34" s="67">
        <f t="shared" si="9"/>
        <v>0</v>
      </c>
      <c r="AL34" s="67">
        <f t="shared" si="10"/>
        <v>0</v>
      </c>
      <c r="AM34" s="67"/>
      <c r="AN34" s="69">
        <v>0</v>
      </c>
      <c r="AO34" s="67">
        <f>+AI34*2%</f>
        <v>400</v>
      </c>
      <c r="AP34" s="67"/>
      <c r="AQ34" s="67">
        <f t="shared" si="11"/>
        <v>19600</v>
      </c>
      <c r="AR34" s="70" t="s">
        <v>311</v>
      </c>
      <c r="AS34" s="62" t="s">
        <v>214</v>
      </c>
      <c r="AT34" s="62" t="s">
        <v>178</v>
      </c>
      <c r="AU34" s="64" t="s">
        <v>377</v>
      </c>
      <c r="AV34" s="62" t="s">
        <v>182</v>
      </c>
      <c r="AW34" s="68" t="s">
        <v>718</v>
      </c>
      <c r="AX34" s="71">
        <f t="shared" si="24"/>
        <v>0</v>
      </c>
      <c r="AY34" s="71">
        <f t="shared" si="25"/>
        <v>0</v>
      </c>
      <c r="AZ34" s="71">
        <f t="shared" si="26"/>
        <v>0</v>
      </c>
      <c r="BA34" s="71">
        <f t="shared" si="27"/>
        <v>0</v>
      </c>
      <c r="BB34" s="71"/>
      <c r="BC34" s="71">
        <f t="shared" si="28"/>
        <v>0</v>
      </c>
      <c r="BD34" s="71">
        <f t="shared" si="29"/>
        <v>0</v>
      </c>
      <c r="BE34" s="71">
        <f t="shared" si="30"/>
        <v>0</v>
      </c>
      <c r="BF34" s="71">
        <f t="shared" si="31"/>
        <v>0</v>
      </c>
      <c r="BG34" s="71">
        <f t="shared" si="20"/>
        <v>20000</v>
      </c>
      <c r="BH34" s="71"/>
      <c r="BI34" s="71"/>
      <c r="BJ34" s="62"/>
      <c r="BK34" s="72">
        <f t="shared" si="32"/>
        <v>36</v>
      </c>
      <c r="BL34" s="76" t="s">
        <v>378</v>
      </c>
      <c r="BM34" s="62"/>
      <c r="BN34" s="66">
        <v>45566</v>
      </c>
      <c r="BO34" s="62" t="s">
        <v>290</v>
      </c>
    </row>
    <row r="35" spans="1:67" s="74" customFormat="1" x14ac:dyDescent="0.3">
      <c r="A35" s="62">
        <v>29</v>
      </c>
      <c r="B35" s="62" t="s">
        <v>544</v>
      </c>
      <c r="C35" s="62" t="s">
        <v>379</v>
      </c>
      <c r="D35" s="62"/>
      <c r="E35" s="48" t="s">
        <v>60</v>
      </c>
      <c r="F35" s="38">
        <v>33974</v>
      </c>
      <c r="G35" s="44" t="s">
        <v>380</v>
      </c>
      <c r="H35" s="44" t="s">
        <v>101</v>
      </c>
      <c r="I35" s="64" t="s">
        <v>381</v>
      </c>
      <c r="J35" s="44" t="s">
        <v>382</v>
      </c>
      <c r="K35" s="44" t="s">
        <v>383</v>
      </c>
      <c r="L35" s="58" t="s">
        <v>384</v>
      </c>
      <c r="M35" s="44" t="s">
        <v>385</v>
      </c>
      <c r="N35" s="41">
        <v>44986</v>
      </c>
      <c r="O35" s="44" t="s">
        <v>224</v>
      </c>
      <c r="P35" s="44" t="s">
        <v>214</v>
      </c>
      <c r="Q35" s="62" t="s">
        <v>271</v>
      </c>
      <c r="R35" s="62" t="s">
        <v>42</v>
      </c>
      <c r="S35" s="62" t="s">
        <v>30</v>
      </c>
      <c r="T35" s="62" t="s">
        <v>30</v>
      </c>
      <c r="U35" s="67">
        <v>20000</v>
      </c>
      <c r="V35" s="68">
        <v>30</v>
      </c>
      <c r="W35" s="68">
        <v>0</v>
      </c>
      <c r="X35" s="68">
        <f>V35-W35</f>
        <v>30</v>
      </c>
      <c r="Y35" s="67">
        <f t="shared" si="1"/>
        <v>666.66666666666663</v>
      </c>
      <c r="Z35" s="67">
        <f t="shared" si="2"/>
        <v>20000</v>
      </c>
      <c r="AA35" s="67">
        <v>16000</v>
      </c>
      <c r="AB35" s="67">
        <v>0</v>
      </c>
      <c r="AC35" s="67">
        <f t="shared" si="33"/>
        <v>4000</v>
      </c>
      <c r="AD35" s="67">
        <f t="shared" si="3"/>
        <v>20000</v>
      </c>
      <c r="AE35" s="67">
        <f t="shared" si="4"/>
        <v>16000</v>
      </c>
      <c r="AF35" s="67">
        <f t="shared" si="5"/>
        <v>0</v>
      </c>
      <c r="AG35" s="67">
        <f t="shared" si="6"/>
        <v>4000</v>
      </c>
      <c r="AH35" s="67"/>
      <c r="AI35" s="67">
        <f t="shared" si="7"/>
        <v>20000</v>
      </c>
      <c r="AJ35" s="67">
        <f t="shared" si="8"/>
        <v>0</v>
      </c>
      <c r="AK35" s="67">
        <f t="shared" si="9"/>
        <v>0</v>
      </c>
      <c r="AL35" s="67">
        <f t="shared" si="10"/>
        <v>0</v>
      </c>
      <c r="AM35" s="67"/>
      <c r="AN35" s="69">
        <v>0</v>
      </c>
      <c r="AO35" s="67">
        <f>+AI35*2%</f>
        <v>400</v>
      </c>
      <c r="AP35" s="67"/>
      <c r="AQ35" s="67">
        <f t="shared" si="11"/>
        <v>19600</v>
      </c>
      <c r="AR35" s="70" t="s">
        <v>311</v>
      </c>
      <c r="AS35" s="62" t="s">
        <v>214</v>
      </c>
      <c r="AT35" s="62" t="s">
        <v>178</v>
      </c>
      <c r="AU35" s="65" t="s">
        <v>386</v>
      </c>
      <c r="AV35" s="62" t="s">
        <v>182</v>
      </c>
      <c r="AW35" s="68" t="s">
        <v>719</v>
      </c>
      <c r="AX35" s="71">
        <f t="shared" si="24"/>
        <v>0</v>
      </c>
      <c r="AY35" s="71">
        <f t="shared" si="25"/>
        <v>0</v>
      </c>
      <c r="AZ35" s="71">
        <f t="shared" si="26"/>
        <v>0</v>
      </c>
      <c r="BA35" s="71">
        <f t="shared" si="27"/>
        <v>0</v>
      </c>
      <c r="BB35" s="71"/>
      <c r="BC35" s="71">
        <f t="shared" si="28"/>
        <v>0</v>
      </c>
      <c r="BD35" s="71">
        <f t="shared" si="29"/>
        <v>0</v>
      </c>
      <c r="BE35" s="71">
        <f t="shared" si="30"/>
        <v>0</v>
      </c>
      <c r="BF35" s="71">
        <f t="shared" si="31"/>
        <v>0</v>
      </c>
      <c r="BG35" s="71">
        <f t="shared" si="20"/>
        <v>20000</v>
      </c>
      <c r="BH35" s="71"/>
      <c r="BI35" s="71"/>
      <c r="BJ35" s="62"/>
      <c r="BK35" s="72">
        <f t="shared" si="32"/>
        <v>36</v>
      </c>
      <c r="BL35" s="76" t="s">
        <v>387</v>
      </c>
      <c r="BM35" s="62" t="s">
        <v>161</v>
      </c>
      <c r="BN35" s="68" t="s">
        <v>298</v>
      </c>
      <c r="BO35" s="62" t="s">
        <v>290</v>
      </c>
    </row>
    <row r="36" spans="1:67" s="74" customFormat="1" ht="15" customHeight="1" x14ac:dyDescent="0.3">
      <c r="A36" s="62">
        <v>30</v>
      </c>
      <c r="B36" s="62" t="s">
        <v>545</v>
      </c>
      <c r="C36" s="62" t="s">
        <v>388</v>
      </c>
      <c r="D36" s="62"/>
      <c r="E36" s="48" t="s">
        <v>60</v>
      </c>
      <c r="F36" s="38">
        <v>28394</v>
      </c>
      <c r="G36" s="44" t="s">
        <v>389</v>
      </c>
      <c r="H36" s="44" t="s">
        <v>101</v>
      </c>
      <c r="I36" s="64" t="s">
        <v>390</v>
      </c>
      <c r="J36" s="44" t="s">
        <v>391</v>
      </c>
      <c r="K36" s="44" t="s">
        <v>392</v>
      </c>
      <c r="L36" s="58" t="s">
        <v>393</v>
      </c>
      <c r="M36" s="44" t="s">
        <v>394</v>
      </c>
      <c r="N36" s="41">
        <v>44986</v>
      </c>
      <c r="O36" s="44" t="s">
        <v>224</v>
      </c>
      <c r="P36" s="44" t="s">
        <v>214</v>
      </c>
      <c r="Q36" s="62" t="s">
        <v>271</v>
      </c>
      <c r="R36" s="62" t="s">
        <v>42</v>
      </c>
      <c r="S36" s="62" t="s">
        <v>30</v>
      </c>
      <c r="T36" s="62" t="s">
        <v>30</v>
      </c>
      <c r="U36" s="67">
        <v>20000</v>
      </c>
      <c r="V36" s="68">
        <v>30</v>
      </c>
      <c r="W36" s="68">
        <v>0</v>
      </c>
      <c r="X36" s="68">
        <f>V36-W36</f>
        <v>30</v>
      </c>
      <c r="Y36" s="67">
        <f t="shared" si="1"/>
        <v>666.66666666666663</v>
      </c>
      <c r="Z36" s="67">
        <f t="shared" si="2"/>
        <v>20000</v>
      </c>
      <c r="AA36" s="67">
        <v>16000</v>
      </c>
      <c r="AB36" s="67">
        <v>0</v>
      </c>
      <c r="AC36" s="67">
        <f t="shared" si="33"/>
        <v>4000</v>
      </c>
      <c r="AD36" s="67">
        <f t="shared" si="3"/>
        <v>20000</v>
      </c>
      <c r="AE36" s="67">
        <f t="shared" si="4"/>
        <v>16000</v>
      </c>
      <c r="AF36" s="67">
        <f t="shared" si="5"/>
        <v>0</v>
      </c>
      <c r="AG36" s="67">
        <f t="shared" si="6"/>
        <v>4000</v>
      </c>
      <c r="AH36" s="67"/>
      <c r="AI36" s="67">
        <f t="shared" si="7"/>
        <v>20000</v>
      </c>
      <c r="AJ36" s="67">
        <f t="shared" si="8"/>
        <v>0</v>
      </c>
      <c r="AK36" s="67">
        <f t="shared" si="9"/>
        <v>0</v>
      </c>
      <c r="AL36" s="67">
        <f t="shared" si="10"/>
        <v>0</v>
      </c>
      <c r="AM36" s="67">
        <f>IF((AI36)&gt;25000,200,IF((AI36)&gt;7500,0,0))</f>
        <v>0</v>
      </c>
      <c r="AN36" s="69">
        <v>0</v>
      </c>
      <c r="AO36" s="67">
        <f>+AI36*2%</f>
        <v>400</v>
      </c>
      <c r="AP36" s="67"/>
      <c r="AQ36" s="67">
        <f t="shared" si="11"/>
        <v>19600</v>
      </c>
      <c r="AR36" s="70" t="s">
        <v>311</v>
      </c>
      <c r="AS36" s="62" t="s">
        <v>214</v>
      </c>
      <c r="AT36" s="62" t="s">
        <v>178</v>
      </c>
      <c r="AU36" s="64" t="s">
        <v>395</v>
      </c>
      <c r="AV36" s="62" t="s">
        <v>182</v>
      </c>
      <c r="AW36" s="68" t="s">
        <v>720</v>
      </c>
      <c r="AX36" s="71">
        <f t="shared" si="24"/>
        <v>0</v>
      </c>
      <c r="AY36" s="71">
        <f t="shared" si="25"/>
        <v>0</v>
      </c>
      <c r="AZ36" s="71">
        <f t="shared" si="26"/>
        <v>0</v>
      </c>
      <c r="BA36" s="71">
        <f t="shared" si="27"/>
        <v>0</v>
      </c>
      <c r="BB36" s="71"/>
      <c r="BC36" s="71">
        <f t="shared" si="28"/>
        <v>0</v>
      </c>
      <c r="BD36" s="71">
        <f t="shared" si="29"/>
        <v>0</v>
      </c>
      <c r="BE36" s="71">
        <f t="shared" si="30"/>
        <v>0</v>
      </c>
      <c r="BF36" s="71">
        <f t="shared" si="31"/>
        <v>0</v>
      </c>
      <c r="BG36" s="71">
        <f t="shared" si="20"/>
        <v>20000</v>
      </c>
      <c r="BH36" s="71"/>
      <c r="BI36" s="71"/>
      <c r="BJ36" s="62"/>
      <c r="BK36" s="72">
        <f t="shared" si="32"/>
        <v>36</v>
      </c>
      <c r="BL36" s="76" t="s">
        <v>396</v>
      </c>
      <c r="BM36" s="62" t="s">
        <v>161</v>
      </c>
      <c r="BN36" s="66">
        <v>45566</v>
      </c>
      <c r="BO36" s="62" t="s">
        <v>290</v>
      </c>
    </row>
    <row r="37" spans="1:67" s="74" customFormat="1" ht="16.5" customHeight="1" x14ac:dyDescent="0.3">
      <c r="A37" s="62">
        <v>31</v>
      </c>
      <c r="B37" s="62" t="s">
        <v>546</v>
      </c>
      <c r="C37" s="77" t="s">
        <v>397</v>
      </c>
      <c r="D37" s="62"/>
      <c r="E37" s="48" t="s">
        <v>60</v>
      </c>
      <c r="F37" s="60">
        <v>35592</v>
      </c>
      <c r="G37" s="47" t="s">
        <v>398</v>
      </c>
      <c r="H37" s="47" t="s">
        <v>399</v>
      </c>
      <c r="I37" s="64" t="s">
        <v>400</v>
      </c>
      <c r="J37" s="39" t="s">
        <v>401</v>
      </c>
      <c r="K37" s="44">
        <v>8788274386</v>
      </c>
      <c r="L37" s="58" t="s">
        <v>402</v>
      </c>
      <c r="M37" s="44" t="s">
        <v>403</v>
      </c>
      <c r="N37" s="41">
        <v>45660</v>
      </c>
      <c r="O37" s="44" t="s">
        <v>215</v>
      </c>
      <c r="P37" s="44" t="s">
        <v>214</v>
      </c>
      <c r="Q37" s="62" t="s">
        <v>271</v>
      </c>
      <c r="R37" s="62" t="s">
        <v>42</v>
      </c>
      <c r="S37" s="62" t="s">
        <v>30</v>
      </c>
      <c r="T37" s="62" t="s">
        <v>30</v>
      </c>
      <c r="U37" s="67">
        <v>21000</v>
      </c>
      <c r="V37" s="68">
        <v>30</v>
      </c>
      <c r="W37" s="68">
        <v>0</v>
      </c>
      <c r="X37" s="68">
        <f t="shared" ref="X37:X61" si="34">+V37-W37</f>
        <v>30</v>
      </c>
      <c r="Y37" s="67">
        <f t="shared" si="1"/>
        <v>700</v>
      </c>
      <c r="Z37" s="67">
        <f t="shared" si="2"/>
        <v>21000</v>
      </c>
      <c r="AA37" s="67">
        <v>16000</v>
      </c>
      <c r="AB37" s="67">
        <v>0</v>
      </c>
      <c r="AC37" s="67">
        <f t="shared" si="33"/>
        <v>5000</v>
      </c>
      <c r="AD37" s="67">
        <f t="shared" si="3"/>
        <v>21000</v>
      </c>
      <c r="AE37" s="67">
        <f t="shared" si="4"/>
        <v>16000</v>
      </c>
      <c r="AF37" s="67">
        <f t="shared" si="5"/>
        <v>0</v>
      </c>
      <c r="AG37" s="67">
        <f t="shared" si="6"/>
        <v>5000</v>
      </c>
      <c r="AH37" s="67"/>
      <c r="AI37" s="67">
        <f t="shared" si="7"/>
        <v>21000</v>
      </c>
      <c r="AJ37" s="67">
        <f t="shared" si="8"/>
        <v>0</v>
      </c>
      <c r="AK37" s="67"/>
      <c r="AL37" s="67"/>
      <c r="AM37" s="67"/>
      <c r="AN37" s="69">
        <v>0</v>
      </c>
      <c r="AO37" s="67">
        <f>+AI37*2%</f>
        <v>420</v>
      </c>
      <c r="AP37" s="67"/>
      <c r="AQ37" s="67">
        <f t="shared" si="11"/>
        <v>20580</v>
      </c>
      <c r="AR37" s="62" t="s">
        <v>311</v>
      </c>
      <c r="AS37" s="62" t="s">
        <v>214</v>
      </c>
      <c r="AT37" s="87" t="s">
        <v>404</v>
      </c>
      <c r="AU37" s="82" t="s">
        <v>405</v>
      </c>
      <c r="AV37" s="87" t="s">
        <v>406</v>
      </c>
      <c r="AW37" s="68" t="s">
        <v>721</v>
      </c>
      <c r="AX37" s="62">
        <f t="shared" si="24"/>
        <v>0</v>
      </c>
      <c r="AY37" s="62">
        <f t="shared" si="25"/>
        <v>0</v>
      </c>
      <c r="AZ37" s="62">
        <f t="shared" si="26"/>
        <v>0</v>
      </c>
      <c r="BA37" s="62">
        <f t="shared" si="27"/>
        <v>0</v>
      </c>
      <c r="BB37" s="62"/>
      <c r="BC37" s="62">
        <f t="shared" si="28"/>
        <v>0</v>
      </c>
      <c r="BD37" s="62">
        <f t="shared" si="29"/>
        <v>0</v>
      </c>
      <c r="BE37" s="62">
        <f t="shared" si="30"/>
        <v>0</v>
      </c>
      <c r="BF37" s="62">
        <f t="shared" si="31"/>
        <v>0</v>
      </c>
      <c r="BG37" s="71">
        <f t="shared" si="20"/>
        <v>21000</v>
      </c>
      <c r="BH37" s="71"/>
      <c r="BI37" s="71"/>
      <c r="BJ37" s="62"/>
      <c r="BK37" s="72">
        <f t="shared" si="32"/>
        <v>14</v>
      </c>
      <c r="BL37" s="76" t="s">
        <v>407</v>
      </c>
      <c r="BM37" s="62"/>
      <c r="BN37" s="68"/>
      <c r="BO37" s="62"/>
    </row>
    <row r="38" spans="1:67" s="74" customFormat="1" hidden="1" x14ac:dyDescent="0.3">
      <c r="A38" s="62">
        <v>32</v>
      </c>
      <c r="B38" s="62" t="s">
        <v>547</v>
      </c>
      <c r="C38" s="62" t="s">
        <v>143</v>
      </c>
      <c r="D38" s="62" t="s">
        <v>499</v>
      </c>
      <c r="E38" s="48" t="s">
        <v>60</v>
      </c>
      <c r="F38" s="38">
        <v>37458</v>
      </c>
      <c r="G38" s="44" t="s">
        <v>144</v>
      </c>
      <c r="H38" s="44" t="s">
        <v>100</v>
      </c>
      <c r="I38" s="44" t="s">
        <v>145</v>
      </c>
      <c r="J38" s="39" t="s">
        <v>146</v>
      </c>
      <c r="K38" s="44">
        <v>7715864803</v>
      </c>
      <c r="L38" s="40" t="s">
        <v>147</v>
      </c>
      <c r="M38" s="44" t="s">
        <v>148</v>
      </c>
      <c r="N38" s="41">
        <v>44777</v>
      </c>
      <c r="O38" s="44" t="s">
        <v>45</v>
      </c>
      <c r="P38" s="44" t="s">
        <v>38</v>
      </c>
      <c r="Q38" s="62" t="s">
        <v>41</v>
      </c>
      <c r="R38" s="62" t="s">
        <v>42</v>
      </c>
      <c r="S38" s="62" t="s">
        <v>30</v>
      </c>
      <c r="T38" s="62" t="s">
        <v>30</v>
      </c>
      <c r="U38" s="67">
        <v>14000</v>
      </c>
      <c r="V38" s="68">
        <v>30</v>
      </c>
      <c r="W38" s="68">
        <v>0</v>
      </c>
      <c r="X38" s="68">
        <f t="shared" si="34"/>
        <v>30</v>
      </c>
      <c r="Y38" s="67">
        <f t="shared" si="1"/>
        <v>466.66666666666669</v>
      </c>
      <c r="Z38" s="67">
        <f t="shared" si="2"/>
        <v>14000</v>
      </c>
      <c r="AA38" s="67">
        <f>+U38</f>
        <v>14000</v>
      </c>
      <c r="AB38" s="67">
        <v>0</v>
      </c>
      <c r="AC38" s="67">
        <v>0</v>
      </c>
      <c r="AD38" s="67">
        <f t="shared" si="3"/>
        <v>14000</v>
      </c>
      <c r="AE38" s="67">
        <f t="shared" si="4"/>
        <v>14000</v>
      </c>
      <c r="AF38" s="67">
        <f t="shared" si="5"/>
        <v>0</v>
      </c>
      <c r="AG38" s="67">
        <f t="shared" si="6"/>
        <v>0</v>
      </c>
      <c r="AH38" s="67"/>
      <c r="AI38" s="67">
        <f t="shared" si="7"/>
        <v>14000</v>
      </c>
      <c r="AJ38" s="67">
        <f t="shared" si="8"/>
        <v>0</v>
      </c>
      <c r="AK38" s="67">
        <f t="shared" ref="AK38:AK50" si="35">IF(S38="YES",MIN(AE38*12%,1800),0)</f>
        <v>0</v>
      </c>
      <c r="AL38" s="67">
        <f t="shared" ref="AL38:AL48" si="36">IF(T38="YES",AI38*0.75%,0)</f>
        <v>0</v>
      </c>
      <c r="AM38" s="67">
        <f>IF((AI38)&gt;25000,200,IF((AI38)&gt;7500,0,0))</f>
        <v>0</v>
      </c>
      <c r="AN38" s="69">
        <v>0</v>
      </c>
      <c r="AO38" s="67">
        <v>0</v>
      </c>
      <c r="AP38" s="67"/>
      <c r="AQ38" s="67">
        <f t="shared" si="11"/>
        <v>14000</v>
      </c>
      <c r="AR38" s="70" t="s">
        <v>197</v>
      </c>
      <c r="AS38" s="62" t="s">
        <v>38</v>
      </c>
      <c r="AT38" s="62" t="s">
        <v>178</v>
      </c>
      <c r="AU38" s="75" t="s">
        <v>189</v>
      </c>
      <c r="AV38" s="62" t="s">
        <v>182</v>
      </c>
      <c r="AW38" s="118" t="s">
        <v>684</v>
      </c>
      <c r="AX38" s="71">
        <f t="shared" si="24"/>
        <v>0</v>
      </c>
      <c r="AY38" s="71">
        <f t="shared" si="25"/>
        <v>0</v>
      </c>
      <c r="AZ38" s="71">
        <f t="shared" si="26"/>
        <v>0</v>
      </c>
      <c r="BA38" s="71">
        <f t="shared" si="27"/>
        <v>0</v>
      </c>
      <c r="BB38" s="71"/>
      <c r="BC38" s="71">
        <f t="shared" si="28"/>
        <v>0</v>
      </c>
      <c r="BD38" s="71">
        <f t="shared" si="29"/>
        <v>0</v>
      </c>
      <c r="BE38" s="71">
        <f t="shared" si="30"/>
        <v>0</v>
      </c>
      <c r="BF38" s="71">
        <f t="shared" si="31"/>
        <v>0</v>
      </c>
      <c r="BG38" s="71">
        <f t="shared" si="20"/>
        <v>14000</v>
      </c>
      <c r="BH38"/>
      <c r="BI38" s="71"/>
      <c r="BJ38" s="62"/>
      <c r="BK38" s="72">
        <f t="shared" si="32"/>
        <v>43</v>
      </c>
      <c r="BL38" s="62" t="e">
        <v>#N/A</v>
      </c>
      <c r="BM38" s="64"/>
      <c r="BN38" s="66">
        <v>45566</v>
      </c>
      <c r="BO38" s="62" t="s">
        <v>293</v>
      </c>
    </row>
    <row r="39" spans="1:67" s="74" customFormat="1" hidden="1" x14ac:dyDescent="0.3">
      <c r="A39" s="62">
        <v>33</v>
      </c>
      <c r="B39" s="62" t="s">
        <v>548</v>
      </c>
      <c r="C39" s="62" t="s">
        <v>149</v>
      </c>
      <c r="D39" s="62"/>
      <c r="E39" s="48" t="s">
        <v>59</v>
      </c>
      <c r="F39" s="38">
        <v>23339</v>
      </c>
      <c r="G39" s="44" t="s">
        <v>150</v>
      </c>
      <c r="H39" s="44" t="s">
        <v>101</v>
      </c>
      <c r="I39" s="44" t="s">
        <v>151</v>
      </c>
      <c r="J39" s="45" t="s">
        <v>152</v>
      </c>
      <c r="K39" s="44">
        <v>8898830525</v>
      </c>
      <c r="L39" s="40">
        <v>295120697598</v>
      </c>
      <c r="M39" s="44" t="s">
        <v>153</v>
      </c>
      <c r="N39" s="41">
        <v>44447</v>
      </c>
      <c r="O39" s="44" t="s">
        <v>44</v>
      </c>
      <c r="P39" s="44" t="s">
        <v>38</v>
      </c>
      <c r="Q39" s="62" t="s">
        <v>41</v>
      </c>
      <c r="R39" s="62" t="s">
        <v>42</v>
      </c>
      <c r="S39" s="62" t="s">
        <v>30</v>
      </c>
      <c r="T39" s="62" t="s">
        <v>30</v>
      </c>
      <c r="U39" s="67">
        <v>14000</v>
      </c>
      <c r="V39" s="68">
        <v>30</v>
      </c>
      <c r="W39" s="68">
        <v>0</v>
      </c>
      <c r="X39" s="68">
        <f t="shared" si="34"/>
        <v>30</v>
      </c>
      <c r="Y39" s="67">
        <f t="shared" ref="Y39:Y61" si="37">U39/V39</f>
        <v>466.66666666666669</v>
      </c>
      <c r="Z39" s="67">
        <f t="shared" ref="Z39:Z61" si="38">X39*Y39</f>
        <v>14000</v>
      </c>
      <c r="AA39" s="67">
        <f>+U39</f>
        <v>14000</v>
      </c>
      <c r="AB39" s="67">
        <v>0</v>
      </c>
      <c r="AC39" s="67">
        <v>0</v>
      </c>
      <c r="AD39" s="67">
        <f t="shared" ref="AD39:AD61" si="39">SUM(AA39:AC39)</f>
        <v>14000</v>
      </c>
      <c r="AE39" s="67">
        <f t="shared" si="4"/>
        <v>14000</v>
      </c>
      <c r="AF39" s="67">
        <f t="shared" si="5"/>
        <v>0</v>
      </c>
      <c r="AG39" s="67">
        <f t="shared" si="6"/>
        <v>0</v>
      </c>
      <c r="AH39" s="67"/>
      <c r="AI39" s="67">
        <f t="shared" ref="AI39:AI61" si="40">SUM(AE39:AH39)</f>
        <v>14000</v>
      </c>
      <c r="AJ39" s="67">
        <f t="shared" ref="AJ39:AJ61" si="41">Z39-AI39+AH39</f>
        <v>0</v>
      </c>
      <c r="AK39" s="67">
        <f t="shared" si="35"/>
        <v>0</v>
      </c>
      <c r="AL39" s="67">
        <f t="shared" si="36"/>
        <v>0</v>
      </c>
      <c r="AM39" s="67">
        <f>IF((AI39)&gt;10000,200,IF((AI39)&gt;7500,175,0))</f>
        <v>200</v>
      </c>
      <c r="AN39" s="69">
        <v>0</v>
      </c>
      <c r="AO39" s="67">
        <v>0</v>
      </c>
      <c r="AP39" s="67"/>
      <c r="AQ39" s="67">
        <f t="shared" ref="AQ39:AQ61" si="42">ROUND(AI39-SUM(AK39:AP39),0)</f>
        <v>13800</v>
      </c>
      <c r="AR39" s="70" t="s">
        <v>197</v>
      </c>
      <c r="AS39" s="62" t="s">
        <v>38</v>
      </c>
      <c r="AT39" s="62" t="s">
        <v>178</v>
      </c>
      <c r="AU39" s="75" t="s">
        <v>213</v>
      </c>
      <c r="AV39" s="62" t="s">
        <v>182</v>
      </c>
      <c r="AW39" s="68" t="s">
        <v>722</v>
      </c>
      <c r="AX39" s="71">
        <f t="shared" si="24"/>
        <v>0</v>
      </c>
      <c r="AY39" s="71">
        <f t="shared" si="25"/>
        <v>0</v>
      </c>
      <c r="AZ39" s="71">
        <f t="shared" si="26"/>
        <v>0</v>
      </c>
      <c r="BA39" s="71">
        <f t="shared" si="27"/>
        <v>0</v>
      </c>
      <c r="BB39" s="71"/>
      <c r="BC39" s="71">
        <f t="shared" si="28"/>
        <v>0</v>
      </c>
      <c r="BD39" s="71">
        <f t="shared" si="29"/>
        <v>0</v>
      </c>
      <c r="BE39" s="71">
        <f t="shared" si="30"/>
        <v>0</v>
      </c>
      <c r="BF39" s="71">
        <f t="shared" si="31"/>
        <v>0</v>
      </c>
      <c r="BG39" s="71">
        <f t="shared" ref="BG39:BG61" si="43">+BE39+AY39+AI39</f>
        <v>14000</v>
      </c>
      <c r="BH39" s="71"/>
      <c r="BI39" s="71"/>
      <c r="BJ39" s="62"/>
      <c r="BK39" s="72">
        <f t="shared" si="32"/>
        <v>54</v>
      </c>
      <c r="BL39" s="62" t="e">
        <v>#N/A</v>
      </c>
      <c r="BM39" s="62"/>
      <c r="BN39" s="66">
        <v>45566</v>
      </c>
      <c r="BO39" s="62" t="s">
        <v>293</v>
      </c>
    </row>
    <row r="40" spans="1:67" s="74" customFormat="1" hidden="1" x14ac:dyDescent="0.3">
      <c r="A40" s="62">
        <v>34</v>
      </c>
      <c r="B40" s="62" t="s">
        <v>549</v>
      </c>
      <c r="C40" s="62" t="s">
        <v>114</v>
      </c>
      <c r="D40" s="62" t="s">
        <v>566</v>
      </c>
      <c r="E40" s="48" t="s">
        <v>59</v>
      </c>
      <c r="F40" s="38">
        <v>36843</v>
      </c>
      <c r="G40" s="44" t="s">
        <v>115</v>
      </c>
      <c r="H40" s="44" t="s">
        <v>100</v>
      </c>
      <c r="I40" s="44" t="s">
        <v>116</v>
      </c>
      <c r="J40" s="39" t="s">
        <v>117</v>
      </c>
      <c r="K40" s="44">
        <v>7977498021</v>
      </c>
      <c r="L40" s="40">
        <v>957665658267</v>
      </c>
      <c r="M40" s="44" t="s">
        <v>118</v>
      </c>
      <c r="N40" s="41">
        <v>44594</v>
      </c>
      <c r="O40" s="44" t="s">
        <v>45</v>
      </c>
      <c r="P40" s="44" t="s">
        <v>38</v>
      </c>
      <c r="Q40" s="62" t="s">
        <v>41</v>
      </c>
      <c r="R40" s="62" t="s">
        <v>42</v>
      </c>
      <c r="S40" s="62" t="s">
        <v>30</v>
      </c>
      <c r="T40" s="62" t="s">
        <v>30</v>
      </c>
      <c r="U40" s="67">
        <v>17000</v>
      </c>
      <c r="V40" s="68">
        <v>30</v>
      </c>
      <c r="W40" s="68">
        <v>0</v>
      </c>
      <c r="X40" s="68">
        <f t="shared" si="34"/>
        <v>30</v>
      </c>
      <c r="Y40" s="67">
        <f t="shared" si="37"/>
        <v>566.66666666666663</v>
      </c>
      <c r="Z40" s="67">
        <f t="shared" si="38"/>
        <v>17000</v>
      </c>
      <c r="AA40" s="67">
        <v>16000</v>
      </c>
      <c r="AB40" s="67">
        <v>0</v>
      </c>
      <c r="AC40" s="67">
        <f>+U40-AA40-AB40</f>
        <v>1000</v>
      </c>
      <c r="AD40" s="67">
        <f t="shared" si="39"/>
        <v>17000</v>
      </c>
      <c r="AE40" s="67">
        <f t="shared" si="4"/>
        <v>16000</v>
      </c>
      <c r="AF40" s="67">
        <f t="shared" si="5"/>
        <v>0</v>
      </c>
      <c r="AG40" s="67">
        <f t="shared" si="6"/>
        <v>1000</v>
      </c>
      <c r="AH40" s="67"/>
      <c r="AI40" s="67">
        <f t="shared" si="40"/>
        <v>17000</v>
      </c>
      <c r="AJ40" s="67">
        <f t="shared" si="41"/>
        <v>0</v>
      </c>
      <c r="AK40" s="67">
        <f t="shared" si="35"/>
        <v>0</v>
      </c>
      <c r="AL40" s="67">
        <f t="shared" si="36"/>
        <v>0</v>
      </c>
      <c r="AM40" s="67">
        <f>IF((AI40)&gt;10000,200,IF((AI40)&gt;7500,175,0))</f>
        <v>200</v>
      </c>
      <c r="AN40" s="69">
        <v>0</v>
      </c>
      <c r="AO40" s="67">
        <v>0</v>
      </c>
      <c r="AP40" s="67"/>
      <c r="AQ40" s="67">
        <f t="shared" si="42"/>
        <v>16800</v>
      </c>
      <c r="AR40" s="70" t="s">
        <v>197</v>
      </c>
      <c r="AS40" s="62" t="s">
        <v>38</v>
      </c>
      <c r="AT40" s="62" t="s">
        <v>178</v>
      </c>
      <c r="AU40" s="75" t="s">
        <v>187</v>
      </c>
      <c r="AV40" s="62" t="s">
        <v>182</v>
      </c>
      <c r="AW40" s="68" t="s">
        <v>723</v>
      </c>
      <c r="AX40" s="71">
        <f t="shared" si="24"/>
        <v>0</v>
      </c>
      <c r="AY40" s="71">
        <f t="shared" si="25"/>
        <v>0</v>
      </c>
      <c r="AZ40" s="71">
        <f t="shared" si="26"/>
        <v>0</v>
      </c>
      <c r="BA40" s="71">
        <f t="shared" si="27"/>
        <v>0</v>
      </c>
      <c r="BB40" s="71"/>
      <c r="BC40" s="71">
        <f t="shared" si="28"/>
        <v>0</v>
      </c>
      <c r="BD40" s="71">
        <f t="shared" si="29"/>
        <v>0</v>
      </c>
      <c r="BE40" s="71">
        <f t="shared" si="30"/>
        <v>0</v>
      </c>
      <c r="BF40" s="71">
        <f t="shared" si="31"/>
        <v>0</v>
      </c>
      <c r="BG40" s="71">
        <f t="shared" si="43"/>
        <v>17000</v>
      </c>
      <c r="BH40" s="71"/>
      <c r="BI40" s="71"/>
      <c r="BJ40" s="62"/>
      <c r="BK40" s="72">
        <f t="shared" si="32"/>
        <v>49</v>
      </c>
      <c r="BL40" s="62" t="e">
        <v>#N/A</v>
      </c>
      <c r="BM40" s="62"/>
      <c r="BN40" s="66">
        <v>45566</v>
      </c>
      <c r="BO40" s="62" t="s">
        <v>292</v>
      </c>
    </row>
    <row r="41" spans="1:67" s="74" customFormat="1" hidden="1" x14ac:dyDescent="0.3">
      <c r="A41" s="62">
        <v>35</v>
      </c>
      <c r="B41" s="62" t="s">
        <v>550</v>
      </c>
      <c r="C41" s="62" t="s">
        <v>167</v>
      </c>
      <c r="D41" s="62"/>
      <c r="E41" s="48" t="s">
        <v>60</v>
      </c>
      <c r="F41" s="38">
        <v>26149</v>
      </c>
      <c r="G41" s="44" t="s">
        <v>99</v>
      </c>
      <c r="H41" s="44" t="s">
        <v>100</v>
      </c>
      <c r="I41" s="44" t="s">
        <v>73</v>
      </c>
      <c r="J41" s="44" t="s">
        <v>74</v>
      </c>
      <c r="K41" s="44">
        <v>9082511156</v>
      </c>
      <c r="L41" s="42" t="s">
        <v>75</v>
      </c>
      <c r="M41" s="44" t="s">
        <v>76</v>
      </c>
      <c r="N41" s="41">
        <v>42719</v>
      </c>
      <c r="O41" s="44" t="s">
        <v>45</v>
      </c>
      <c r="P41" s="44" t="s">
        <v>38</v>
      </c>
      <c r="Q41" s="62" t="s">
        <v>41</v>
      </c>
      <c r="R41" s="62" t="s">
        <v>42</v>
      </c>
      <c r="S41" s="62" t="s">
        <v>31</v>
      </c>
      <c r="T41" s="62" t="s">
        <v>31</v>
      </c>
      <c r="U41" s="67">
        <v>14000</v>
      </c>
      <c r="V41" s="68">
        <v>30</v>
      </c>
      <c r="W41" s="68">
        <v>0</v>
      </c>
      <c r="X41" s="68">
        <f t="shared" si="34"/>
        <v>30</v>
      </c>
      <c r="Y41" s="67">
        <f t="shared" si="37"/>
        <v>466.66666666666669</v>
      </c>
      <c r="Z41" s="67">
        <f t="shared" si="38"/>
        <v>14000</v>
      </c>
      <c r="AA41" s="67">
        <v>12500</v>
      </c>
      <c r="AB41" s="67">
        <v>0</v>
      </c>
      <c r="AC41" s="67">
        <v>1500</v>
      </c>
      <c r="AD41" s="67">
        <f t="shared" si="39"/>
        <v>14000</v>
      </c>
      <c r="AE41" s="67">
        <f t="shared" si="4"/>
        <v>12500</v>
      </c>
      <c r="AF41" s="67">
        <f t="shared" si="5"/>
        <v>0</v>
      </c>
      <c r="AG41" s="67">
        <f t="shared" si="6"/>
        <v>1500</v>
      </c>
      <c r="AH41" s="67"/>
      <c r="AI41" s="67">
        <f t="shared" si="40"/>
        <v>14000</v>
      </c>
      <c r="AJ41" s="67">
        <f t="shared" si="41"/>
        <v>0</v>
      </c>
      <c r="AK41" s="67">
        <f t="shared" si="35"/>
        <v>1500</v>
      </c>
      <c r="AL41" s="67">
        <f t="shared" si="36"/>
        <v>105</v>
      </c>
      <c r="AM41" s="67">
        <f>IF((AI41)&gt;25000,200,IF((AI41)&gt;7500,0,0))</f>
        <v>0</v>
      </c>
      <c r="AN41" s="69">
        <v>0</v>
      </c>
      <c r="AO41" s="67">
        <v>0</v>
      </c>
      <c r="AP41" s="67"/>
      <c r="AQ41" s="67">
        <f t="shared" si="42"/>
        <v>12395</v>
      </c>
      <c r="AR41" s="70" t="s">
        <v>197</v>
      </c>
      <c r="AS41" s="62" t="s">
        <v>38</v>
      </c>
      <c r="AT41" s="62" t="s">
        <v>178</v>
      </c>
      <c r="AU41" s="64" t="s">
        <v>188</v>
      </c>
      <c r="AV41" s="62" t="s">
        <v>182</v>
      </c>
      <c r="AW41" s="68" t="s">
        <v>724</v>
      </c>
      <c r="AX41" s="71">
        <f t="shared" si="24"/>
        <v>12500</v>
      </c>
      <c r="AY41" s="71">
        <f t="shared" si="25"/>
        <v>1500</v>
      </c>
      <c r="AZ41" s="71">
        <f t="shared" si="26"/>
        <v>459</v>
      </c>
      <c r="BA41" s="71">
        <f t="shared" si="27"/>
        <v>1041</v>
      </c>
      <c r="BB41" s="71"/>
      <c r="BC41" s="71">
        <f t="shared" si="28"/>
        <v>14000</v>
      </c>
      <c r="BD41" s="71">
        <f t="shared" si="29"/>
        <v>105</v>
      </c>
      <c r="BE41" s="71">
        <f t="shared" si="30"/>
        <v>455</v>
      </c>
      <c r="BF41" s="71">
        <f t="shared" si="31"/>
        <v>560</v>
      </c>
      <c r="BG41" s="71">
        <f t="shared" si="43"/>
        <v>15955</v>
      </c>
      <c r="BH41" s="71"/>
      <c r="BI41" s="71"/>
      <c r="BJ41" s="62"/>
      <c r="BK41" s="72">
        <f t="shared" si="32"/>
        <v>111</v>
      </c>
      <c r="BL41" s="76" t="s">
        <v>310</v>
      </c>
      <c r="BM41" s="64" t="s">
        <v>160</v>
      </c>
      <c r="BN41" s="66">
        <v>45566</v>
      </c>
      <c r="BO41" s="62" t="s">
        <v>294</v>
      </c>
    </row>
    <row r="42" spans="1:67" s="74" customFormat="1" hidden="1" x14ac:dyDescent="0.3">
      <c r="A42" s="62">
        <v>36</v>
      </c>
      <c r="B42" s="62" t="s">
        <v>551</v>
      </c>
      <c r="C42" s="62" t="s">
        <v>199</v>
      </c>
      <c r="D42" s="62"/>
      <c r="E42" s="48" t="s">
        <v>59</v>
      </c>
      <c r="F42" s="38">
        <v>25187</v>
      </c>
      <c r="G42" s="44" t="s">
        <v>200</v>
      </c>
      <c r="H42" s="44" t="s">
        <v>101</v>
      </c>
      <c r="I42" s="44" t="s">
        <v>201</v>
      </c>
      <c r="J42" s="44" t="s">
        <v>202</v>
      </c>
      <c r="K42" s="44">
        <v>9819978417</v>
      </c>
      <c r="L42" s="42" t="s">
        <v>203</v>
      </c>
      <c r="M42" s="44" t="s">
        <v>204</v>
      </c>
      <c r="N42" s="41">
        <v>43709</v>
      </c>
      <c r="O42" s="44" t="s">
        <v>45</v>
      </c>
      <c r="P42" s="44" t="s">
        <v>38</v>
      </c>
      <c r="Q42" s="62" t="s">
        <v>41</v>
      </c>
      <c r="R42" s="62" t="s">
        <v>42</v>
      </c>
      <c r="S42" s="62" t="s">
        <v>30</v>
      </c>
      <c r="T42" s="62" t="s">
        <v>30</v>
      </c>
      <c r="U42" s="67">
        <v>26500</v>
      </c>
      <c r="V42" s="68">
        <v>30</v>
      </c>
      <c r="W42" s="68">
        <v>0</v>
      </c>
      <c r="X42" s="68">
        <f t="shared" si="34"/>
        <v>30</v>
      </c>
      <c r="Y42" s="67">
        <f t="shared" si="37"/>
        <v>883.33333333333337</v>
      </c>
      <c r="Z42" s="67">
        <f t="shared" si="38"/>
        <v>26500</v>
      </c>
      <c r="AA42" s="67">
        <v>20000</v>
      </c>
      <c r="AB42" s="67">
        <v>2000</v>
      </c>
      <c r="AC42" s="67">
        <f t="shared" ref="AC42:AC48" si="44">+U42-AA42-AB42</f>
        <v>4500</v>
      </c>
      <c r="AD42" s="67">
        <f t="shared" si="39"/>
        <v>26500</v>
      </c>
      <c r="AE42" s="67">
        <f t="shared" si="4"/>
        <v>20000</v>
      </c>
      <c r="AF42" s="67">
        <f t="shared" si="5"/>
        <v>2000</v>
      </c>
      <c r="AG42" s="67">
        <f t="shared" si="6"/>
        <v>4500</v>
      </c>
      <c r="AH42" s="67"/>
      <c r="AI42" s="67">
        <f t="shared" si="40"/>
        <v>26500</v>
      </c>
      <c r="AJ42" s="67">
        <f t="shared" si="41"/>
        <v>0</v>
      </c>
      <c r="AK42" s="67">
        <f t="shared" si="35"/>
        <v>0</v>
      </c>
      <c r="AL42" s="67">
        <f t="shared" si="36"/>
        <v>0</v>
      </c>
      <c r="AM42" s="67">
        <f>IF((AI42)&gt;10000,200,IF((AI42)&gt;7500,175,0))</f>
        <v>200</v>
      </c>
      <c r="AN42" s="69">
        <v>0</v>
      </c>
      <c r="AO42" s="67">
        <v>0</v>
      </c>
      <c r="AP42" s="67">
        <v>2000</v>
      </c>
      <c r="AQ42" s="67">
        <f t="shared" si="42"/>
        <v>24300</v>
      </c>
      <c r="AR42" s="70" t="s">
        <v>197</v>
      </c>
      <c r="AS42" s="62" t="s">
        <v>38</v>
      </c>
      <c r="AT42" s="62" t="s">
        <v>178</v>
      </c>
      <c r="AU42" s="64" t="s">
        <v>205</v>
      </c>
      <c r="AV42" s="62" t="s">
        <v>182</v>
      </c>
      <c r="AW42" s="68" t="s">
        <v>725</v>
      </c>
      <c r="AX42" s="71">
        <f t="shared" si="24"/>
        <v>0</v>
      </c>
      <c r="AY42" s="71">
        <f t="shared" si="25"/>
        <v>0</v>
      </c>
      <c r="AZ42" s="71">
        <f t="shared" si="26"/>
        <v>0</v>
      </c>
      <c r="BA42" s="71">
        <f t="shared" si="27"/>
        <v>0</v>
      </c>
      <c r="BB42" s="71"/>
      <c r="BC42" s="71">
        <f t="shared" si="28"/>
        <v>0</v>
      </c>
      <c r="BD42" s="71">
        <f t="shared" si="29"/>
        <v>0</v>
      </c>
      <c r="BE42" s="71">
        <f t="shared" si="30"/>
        <v>0</v>
      </c>
      <c r="BF42" s="71">
        <f t="shared" si="31"/>
        <v>0</v>
      </c>
      <c r="BG42" s="71">
        <f t="shared" si="43"/>
        <v>26500</v>
      </c>
      <c r="BH42" s="71"/>
      <c r="BI42" s="71"/>
      <c r="BJ42" s="62"/>
      <c r="BK42" s="72">
        <f t="shared" si="32"/>
        <v>78</v>
      </c>
      <c r="BL42" s="62" t="e">
        <v>#N/A</v>
      </c>
      <c r="BM42" s="79"/>
      <c r="BN42" s="66">
        <v>45383</v>
      </c>
      <c r="BO42" s="62" t="s">
        <v>295</v>
      </c>
    </row>
    <row r="43" spans="1:67" s="74" customFormat="1" hidden="1" x14ac:dyDescent="0.3">
      <c r="A43" s="62">
        <v>37</v>
      </c>
      <c r="B43" s="62" t="s">
        <v>552</v>
      </c>
      <c r="C43" s="62" t="s">
        <v>168</v>
      </c>
      <c r="D43" s="62"/>
      <c r="E43" s="48" t="s">
        <v>59</v>
      </c>
      <c r="F43" s="38">
        <v>28594</v>
      </c>
      <c r="G43" s="44" t="s">
        <v>107</v>
      </c>
      <c r="H43" s="44" t="s">
        <v>101</v>
      </c>
      <c r="I43" s="44" t="s">
        <v>108</v>
      </c>
      <c r="J43" s="39" t="s">
        <v>177</v>
      </c>
      <c r="K43" s="44">
        <v>9029607887</v>
      </c>
      <c r="L43" s="42" t="s">
        <v>109</v>
      </c>
      <c r="M43" s="44" t="s">
        <v>110</v>
      </c>
      <c r="N43" s="41">
        <v>43313</v>
      </c>
      <c r="O43" s="44" t="s">
        <v>111</v>
      </c>
      <c r="P43" s="44" t="s">
        <v>38</v>
      </c>
      <c r="Q43" s="62" t="s">
        <v>41</v>
      </c>
      <c r="R43" s="62" t="s">
        <v>42</v>
      </c>
      <c r="S43" s="62" t="s">
        <v>31</v>
      </c>
      <c r="T43" s="62" t="s">
        <v>30</v>
      </c>
      <c r="U43" s="67">
        <f>40000-1800</f>
        <v>38200</v>
      </c>
      <c r="V43" s="68">
        <v>30</v>
      </c>
      <c r="W43" s="68">
        <v>0</v>
      </c>
      <c r="X43" s="68">
        <f t="shared" si="34"/>
        <v>30</v>
      </c>
      <c r="Y43" s="67">
        <f t="shared" si="37"/>
        <v>1273.3333333333333</v>
      </c>
      <c r="Z43" s="67">
        <f t="shared" si="38"/>
        <v>38200</v>
      </c>
      <c r="AA43" s="67">
        <v>15000</v>
      </c>
      <c r="AB43" s="67">
        <f>+AA43/2</f>
        <v>7500</v>
      </c>
      <c r="AC43" s="67">
        <f t="shared" si="44"/>
        <v>15700</v>
      </c>
      <c r="AD43" s="67">
        <f t="shared" si="39"/>
        <v>38200</v>
      </c>
      <c r="AE43" s="67">
        <f t="shared" si="4"/>
        <v>15000</v>
      </c>
      <c r="AF43" s="67">
        <f t="shared" si="5"/>
        <v>7500</v>
      </c>
      <c r="AG43" s="67">
        <f t="shared" si="6"/>
        <v>15700</v>
      </c>
      <c r="AH43" s="67"/>
      <c r="AI43" s="67">
        <f t="shared" si="40"/>
        <v>38200</v>
      </c>
      <c r="AJ43" s="67">
        <f t="shared" si="41"/>
        <v>0</v>
      </c>
      <c r="AK43" s="67">
        <f t="shared" si="35"/>
        <v>1800</v>
      </c>
      <c r="AL43" s="67">
        <f t="shared" si="36"/>
        <v>0</v>
      </c>
      <c r="AM43" s="67">
        <f>IF((AI43)&gt;10000,200,IF((AI43)&gt;7500,175,0))</f>
        <v>200</v>
      </c>
      <c r="AN43" s="69">
        <v>0</v>
      </c>
      <c r="AO43" s="67">
        <v>0</v>
      </c>
      <c r="AP43" s="67">
        <v>2000</v>
      </c>
      <c r="AQ43" s="67">
        <f t="shared" si="42"/>
        <v>34200</v>
      </c>
      <c r="AR43" s="70" t="s">
        <v>197</v>
      </c>
      <c r="AS43" s="62" t="s">
        <v>38</v>
      </c>
      <c r="AT43" s="62" t="s">
        <v>178</v>
      </c>
      <c r="AU43" s="64" t="s">
        <v>181</v>
      </c>
      <c r="AV43" s="62" t="s">
        <v>182</v>
      </c>
      <c r="AW43" s="68" t="s">
        <v>726</v>
      </c>
      <c r="AX43" s="71">
        <f t="shared" si="24"/>
        <v>15000</v>
      </c>
      <c r="AY43" s="71">
        <f t="shared" si="25"/>
        <v>1800</v>
      </c>
      <c r="AZ43" s="71">
        <f t="shared" si="26"/>
        <v>550</v>
      </c>
      <c r="BA43" s="71">
        <f t="shared" si="27"/>
        <v>1250</v>
      </c>
      <c r="BB43" s="71"/>
      <c r="BC43" s="71">
        <f t="shared" si="28"/>
        <v>0</v>
      </c>
      <c r="BD43" s="71">
        <f t="shared" si="29"/>
        <v>0</v>
      </c>
      <c r="BE43" s="71">
        <f t="shared" si="30"/>
        <v>0</v>
      </c>
      <c r="BF43" s="71">
        <f t="shared" si="31"/>
        <v>0</v>
      </c>
      <c r="BG43" s="71">
        <f t="shared" si="43"/>
        <v>40000</v>
      </c>
      <c r="BH43" s="71"/>
      <c r="BI43" s="71"/>
      <c r="BJ43" s="62"/>
      <c r="BK43" s="72">
        <f t="shared" si="32"/>
        <v>91</v>
      </c>
      <c r="BL43" s="76" t="s">
        <v>297</v>
      </c>
      <c r="BM43" s="62" t="s">
        <v>163</v>
      </c>
      <c r="BN43" s="68" t="s">
        <v>298</v>
      </c>
      <c r="BO43" s="62" t="s">
        <v>291</v>
      </c>
    </row>
    <row r="44" spans="1:67" s="74" customFormat="1" hidden="1" x14ac:dyDescent="0.3">
      <c r="A44" s="62">
        <v>38</v>
      </c>
      <c r="B44" s="62" t="s">
        <v>553</v>
      </c>
      <c r="C44" s="62" t="s">
        <v>206</v>
      </c>
      <c r="D44" s="62" t="s">
        <v>565</v>
      </c>
      <c r="E44" s="62" t="s">
        <v>60</v>
      </c>
      <c r="F44" s="63">
        <v>31005</v>
      </c>
      <c r="G44" s="64" t="s">
        <v>207</v>
      </c>
      <c r="H44" s="64" t="s">
        <v>101</v>
      </c>
      <c r="I44" s="64" t="s">
        <v>208</v>
      </c>
      <c r="J44" s="64" t="s">
        <v>209</v>
      </c>
      <c r="K44" s="64">
        <v>9967792016</v>
      </c>
      <c r="L44" s="65" t="s">
        <v>210</v>
      </c>
      <c r="M44" s="64" t="s">
        <v>211</v>
      </c>
      <c r="N44" s="66">
        <v>43709</v>
      </c>
      <c r="O44" s="64" t="s">
        <v>111</v>
      </c>
      <c r="P44" s="64" t="s">
        <v>38</v>
      </c>
      <c r="Q44" s="62" t="s">
        <v>41</v>
      </c>
      <c r="R44" s="62" t="s">
        <v>42</v>
      </c>
      <c r="S44" s="62" t="s">
        <v>30</v>
      </c>
      <c r="T44" s="62" t="s">
        <v>30</v>
      </c>
      <c r="U44" s="67">
        <v>33000</v>
      </c>
      <c r="V44" s="68">
        <v>30</v>
      </c>
      <c r="W44" s="68">
        <v>15</v>
      </c>
      <c r="X44" s="68">
        <f t="shared" si="34"/>
        <v>15</v>
      </c>
      <c r="Y44" s="67">
        <f t="shared" si="37"/>
        <v>1100</v>
      </c>
      <c r="Z44" s="67">
        <f t="shared" si="38"/>
        <v>16500</v>
      </c>
      <c r="AA44" s="67">
        <v>20000</v>
      </c>
      <c r="AB44" s="67">
        <v>5000</v>
      </c>
      <c r="AC44" s="67">
        <f t="shared" si="44"/>
        <v>8000</v>
      </c>
      <c r="AD44" s="67">
        <f t="shared" si="39"/>
        <v>33000</v>
      </c>
      <c r="AE44" s="67">
        <f t="shared" si="4"/>
        <v>10000</v>
      </c>
      <c r="AF44" s="67">
        <f t="shared" si="5"/>
        <v>2500</v>
      </c>
      <c r="AG44" s="67">
        <f t="shared" si="6"/>
        <v>4000</v>
      </c>
      <c r="AH44" s="67"/>
      <c r="AI44" s="67">
        <f t="shared" si="40"/>
        <v>16500</v>
      </c>
      <c r="AJ44" s="67">
        <f t="shared" si="41"/>
        <v>0</v>
      </c>
      <c r="AK44" s="67">
        <f t="shared" si="35"/>
        <v>0</v>
      </c>
      <c r="AL44" s="67">
        <f t="shared" si="36"/>
        <v>0</v>
      </c>
      <c r="AM44" s="67">
        <f>IF((AI44)&gt;25000,200,IF((AI44)&gt;7500,0,0))</f>
        <v>0</v>
      </c>
      <c r="AN44" s="69">
        <v>0</v>
      </c>
      <c r="AO44" s="67">
        <v>0</v>
      </c>
      <c r="AP44" s="67"/>
      <c r="AQ44" s="67">
        <f t="shared" si="42"/>
        <v>16500</v>
      </c>
      <c r="AR44" s="70" t="s">
        <v>197</v>
      </c>
      <c r="AS44" s="62" t="s">
        <v>38</v>
      </c>
      <c r="AT44" s="62" t="s">
        <v>178</v>
      </c>
      <c r="AU44" s="65" t="s">
        <v>212</v>
      </c>
      <c r="AV44" s="62" t="s">
        <v>182</v>
      </c>
      <c r="AW44" s="68" t="s">
        <v>727</v>
      </c>
      <c r="AX44" s="71">
        <f t="shared" si="24"/>
        <v>0</v>
      </c>
      <c r="AY44" s="71">
        <f t="shared" si="25"/>
        <v>0</v>
      </c>
      <c r="AZ44" s="71">
        <f t="shared" si="26"/>
        <v>0</v>
      </c>
      <c r="BA44" s="71">
        <f t="shared" si="27"/>
        <v>0</v>
      </c>
      <c r="BB44" s="71"/>
      <c r="BC44" s="71">
        <f t="shared" si="28"/>
        <v>0</v>
      </c>
      <c r="BD44" s="71">
        <f t="shared" si="29"/>
        <v>0</v>
      </c>
      <c r="BE44" s="71">
        <f t="shared" si="30"/>
        <v>0</v>
      </c>
      <c r="BF44" s="71">
        <f t="shared" si="31"/>
        <v>0</v>
      </c>
      <c r="BG44" s="71">
        <f t="shared" si="43"/>
        <v>16500</v>
      </c>
      <c r="BH44" s="71"/>
      <c r="BI44" s="71"/>
      <c r="BJ44" s="62"/>
      <c r="BK44" s="72">
        <f t="shared" si="32"/>
        <v>78</v>
      </c>
      <c r="BL44" s="62" t="e">
        <v>#N/A</v>
      </c>
      <c r="BM44" s="73"/>
      <c r="BN44" s="66">
        <v>45383</v>
      </c>
      <c r="BO44" s="62" t="s">
        <v>295</v>
      </c>
    </row>
    <row r="45" spans="1:67" s="74" customFormat="1" hidden="1" x14ac:dyDescent="0.3">
      <c r="A45" s="62">
        <v>39</v>
      </c>
      <c r="B45" s="62" t="s">
        <v>554</v>
      </c>
      <c r="C45" s="62" t="s">
        <v>315</v>
      </c>
      <c r="D45" s="62"/>
      <c r="E45" s="48" t="s">
        <v>59</v>
      </c>
      <c r="F45" s="38">
        <v>28376</v>
      </c>
      <c r="G45" s="44" t="s">
        <v>316</v>
      </c>
      <c r="H45" s="44" t="s">
        <v>101</v>
      </c>
      <c r="I45" s="64" t="s">
        <v>317</v>
      </c>
      <c r="J45" s="44" t="s">
        <v>318</v>
      </c>
      <c r="K45" s="44">
        <v>9920582834</v>
      </c>
      <c r="L45" s="42" t="s">
        <v>319</v>
      </c>
      <c r="M45" s="44" t="s">
        <v>320</v>
      </c>
      <c r="N45" s="41">
        <v>43552</v>
      </c>
      <c r="O45" s="44" t="s">
        <v>111</v>
      </c>
      <c r="P45" s="44" t="s">
        <v>38</v>
      </c>
      <c r="Q45" s="62" t="s">
        <v>41</v>
      </c>
      <c r="R45" s="62" t="s">
        <v>42</v>
      </c>
      <c r="S45" s="62" t="s">
        <v>30</v>
      </c>
      <c r="T45" s="62" t="s">
        <v>30</v>
      </c>
      <c r="U45" s="67">
        <v>40000</v>
      </c>
      <c r="V45" s="68">
        <v>30</v>
      </c>
      <c r="W45" s="68">
        <v>0</v>
      </c>
      <c r="X45" s="68">
        <f t="shared" si="34"/>
        <v>30</v>
      </c>
      <c r="Y45" s="67">
        <f t="shared" si="37"/>
        <v>1333.3333333333333</v>
      </c>
      <c r="Z45" s="67">
        <f t="shared" si="38"/>
        <v>40000</v>
      </c>
      <c r="AA45" s="67">
        <v>20000</v>
      </c>
      <c r="AB45" s="67">
        <f>+AA45/2</f>
        <v>10000</v>
      </c>
      <c r="AC45" s="67">
        <f t="shared" si="44"/>
        <v>10000</v>
      </c>
      <c r="AD45" s="67">
        <f t="shared" si="39"/>
        <v>40000</v>
      </c>
      <c r="AE45" s="67">
        <f t="shared" si="4"/>
        <v>20000</v>
      </c>
      <c r="AF45" s="67">
        <f t="shared" si="5"/>
        <v>10000</v>
      </c>
      <c r="AG45" s="67">
        <f t="shared" si="6"/>
        <v>10000</v>
      </c>
      <c r="AH45" s="67"/>
      <c r="AI45" s="67">
        <f t="shared" si="40"/>
        <v>40000</v>
      </c>
      <c r="AJ45" s="67">
        <f t="shared" si="41"/>
        <v>0</v>
      </c>
      <c r="AK45" s="67">
        <f t="shared" si="35"/>
        <v>0</v>
      </c>
      <c r="AL45" s="67">
        <f t="shared" si="36"/>
        <v>0</v>
      </c>
      <c r="AM45" s="67"/>
      <c r="AN45" s="69">
        <v>0</v>
      </c>
      <c r="AO45" s="67">
        <f t="shared" ref="AO45:AO52" si="45">+AI45*2%</f>
        <v>800</v>
      </c>
      <c r="AP45" s="67">
        <v>2000</v>
      </c>
      <c r="AQ45" s="67">
        <f t="shared" si="42"/>
        <v>37200</v>
      </c>
      <c r="AR45" s="70" t="s">
        <v>311</v>
      </c>
      <c r="AS45" s="62" t="s">
        <v>38</v>
      </c>
      <c r="AT45" s="62" t="s">
        <v>178</v>
      </c>
      <c r="AU45" s="65" t="s">
        <v>321</v>
      </c>
      <c r="AV45" s="62" t="s">
        <v>182</v>
      </c>
      <c r="AW45" s="68" t="s">
        <v>728</v>
      </c>
      <c r="AX45" s="71">
        <f t="shared" si="24"/>
        <v>0</v>
      </c>
      <c r="AY45" s="71">
        <f t="shared" si="25"/>
        <v>0</v>
      </c>
      <c r="AZ45" s="71">
        <f t="shared" si="26"/>
        <v>0</v>
      </c>
      <c r="BA45" s="71">
        <f t="shared" si="27"/>
        <v>0</v>
      </c>
      <c r="BB45" s="71"/>
      <c r="BC45" s="71">
        <f t="shared" si="28"/>
        <v>0</v>
      </c>
      <c r="BD45" s="71">
        <f t="shared" si="29"/>
        <v>0</v>
      </c>
      <c r="BE45" s="71">
        <f t="shared" si="30"/>
        <v>0</v>
      </c>
      <c r="BF45" s="71">
        <f t="shared" si="31"/>
        <v>0</v>
      </c>
      <c r="BG45" s="71">
        <f t="shared" si="43"/>
        <v>40000</v>
      </c>
      <c r="BH45" s="71"/>
      <c r="BI45" s="71"/>
      <c r="BJ45" s="62"/>
      <c r="BK45" s="72">
        <f t="shared" si="32"/>
        <v>84</v>
      </c>
      <c r="BL45" s="76" t="s">
        <v>322</v>
      </c>
      <c r="BM45" s="77"/>
      <c r="BN45" s="68" t="s">
        <v>298</v>
      </c>
      <c r="BO45" s="62" t="s">
        <v>291</v>
      </c>
    </row>
    <row r="46" spans="1:67" s="74" customFormat="1" ht="16.5" hidden="1" customHeight="1" x14ac:dyDescent="0.3">
      <c r="A46" s="62">
        <v>40</v>
      </c>
      <c r="B46" s="62" t="s">
        <v>555</v>
      </c>
      <c r="C46" s="62" t="s">
        <v>408</v>
      </c>
      <c r="D46" s="62"/>
      <c r="E46" s="48" t="s">
        <v>59</v>
      </c>
      <c r="F46" s="38">
        <v>34286</v>
      </c>
      <c r="G46" s="44" t="s">
        <v>409</v>
      </c>
      <c r="H46" s="44" t="s">
        <v>100</v>
      </c>
      <c r="I46" s="64" t="s">
        <v>410</v>
      </c>
      <c r="J46" s="44" t="s">
        <v>411</v>
      </c>
      <c r="K46" s="44">
        <v>9323803307</v>
      </c>
      <c r="L46" s="44"/>
      <c r="M46" s="44"/>
      <c r="N46" s="41">
        <v>44840</v>
      </c>
      <c r="O46" s="44" t="s">
        <v>45</v>
      </c>
      <c r="P46" s="44" t="s">
        <v>38</v>
      </c>
      <c r="Q46" s="62" t="s">
        <v>41</v>
      </c>
      <c r="R46" s="62" t="s">
        <v>42</v>
      </c>
      <c r="S46" s="62" t="s">
        <v>30</v>
      </c>
      <c r="T46" s="62" t="s">
        <v>30</v>
      </c>
      <c r="U46" s="67">
        <v>31200</v>
      </c>
      <c r="V46" s="68">
        <v>30</v>
      </c>
      <c r="W46" s="68">
        <v>0</v>
      </c>
      <c r="X46" s="68">
        <f t="shared" si="34"/>
        <v>30</v>
      </c>
      <c r="Y46" s="67">
        <f t="shared" si="37"/>
        <v>1040</v>
      </c>
      <c r="Z46" s="67">
        <f t="shared" si="38"/>
        <v>31200</v>
      </c>
      <c r="AA46" s="67">
        <v>20000</v>
      </c>
      <c r="AB46" s="67">
        <v>5000</v>
      </c>
      <c r="AC46" s="67">
        <f t="shared" si="44"/>
        <v>6200</v>
      </c>
      <c r="AD46" s="67">
        <f t="shared" si="39"/>
        <v>31200</v>
      </c>
      <c r="AE46" s="67">
        <f t="shared" si="4"/>
        <v>20000</v>
      </c>
      <c r="AF46" s="67">
        <f t="shared" si="5"/>
        <v>5000</v>
      </c>
      <c r="AG46" s="67">
        <f t="shared" si="6"/>
        <v>6200</v>
      </c>
      <c r="AH46" s="67"/>
      <c r="AI46" s="67">
        <f t="shared" si="40"/>
        <v>31200</v>
      </c>
      <c r="AJ46" s="67">
        <f t="shared" si="41"/>
        <v>0</v>
      </c>
      <c r="AK46" s="67">
        <f t="shared" si="35"/>
        <v>0</v>
      </c>
      <c r="AL46" s="67">
        <f t="shared" si="36"/>
        <v>0</v>
      </c>
      <c r="AM46" s="67"/>
      <c r="AN46" s="69">
        <v>0</v>
      </c>
      <c r="AO46" s="67">
        <f t="shared" si="45"/>
        <v>624</v>
      </c>
      <c r="AP46" s="67"/>
      <c r="AQ46" s="67">
        <f t="shared" si="42"/>
        <v>30576</v>
      </c>
      <c r="AR46" s="70" t="s">
        <v>311</v>
      </c>
      <c r="AS46" s="62" t="s">
        <v>38</v>
      </c>
      <c r="AT46" s="62" t="s">
        <v>178</v>
      </c>
      <c r="AU46" s="75" t="s">
        <v>412</v>
      </c>
      <c r="AV46" s="62" t="s">
        <v>413</v>
      </c>
      <c r="AW46" s="68" t="s">
        <v>729</v>
      </c>
      <c r="AX46" s="71">
        <f t="shared" si="24"/>
        <v>0</v>
      </c>
      <c r="AY46" s="71">
        <f t="shared" si="25"/>
        <v>0</v>
      </c>
      <c r="AZ46" s="71">
        <f t="shared" si="26"/>
        <v>0</v>
      </c>
      <c r="BA46" s="71">
        <f t="shared" si="27"/>
        <v>0</v>
      </c>
      <c r="BB46" s="71"/>
      <c r="BC46" s="71">
        <f t="shared" si="28"/>
        <v>0</v>
      </c>
      <c r="BD46" s="71">
        <f t="shared" si="29"/>
        <v>0</v>
      </c>
      <c r="BE46" s="71">
        <f t="shared" si="30"/>
        <v>0</v>
      </c>
      <c r="BF46" s="71">
        <f t="shared" si="31"/>
        <v>0</v>
      </c>
      <c r="BG46" s="71">
        <f t="shared" si="43"/>
        <v>31200</v>
      </c>
      <c r="BH46" s="71"/>
      <c r="BI46" s="71"/>
      <c r="BJ46" s="62"/>
      <c r="BK46" s="72">
        <f t="shared" si="32"/>
        <v>41</v>
      </c>
      <c r="BL46" s="76" t="s">
        <v>414</v>
      </c>
      <c r="BM46" s="62"/>
      <c r="BN46" s="68" t="s">
        <v>298</v>
      </c>
      <c r="BO46" s="62" t="s">
        <v>291</v>
      </c>
    </row>
    <row r="47" spans="1:67" s="74" customFormat="1" hidden="1" x14ac:dyDescent="0.3">
      <c r="A47" s="62">
        <v>41</v>
      </c>
      <c r="B47" s="62" t="s">
        <v>556</v>
      </c>
      <c r="C47" s="62" t="s">
        <v>415</v>
      </c>
      <c r="D47" s="62"/>
      <c r="E47" s="48" t="s">
        <v>60</v>
      </c>
      <c r="F47" s="38">
        <v>35585</v>
      </c>
      <c r="G47" s="44" t="s">
        <v>416</v>
      </c>
      <c r="H47" s="44" t="s">
        <v>100</v>
      </c>
      <c r="I47" s="64" t="s">
        <v>417</v>
      </c>
      <c r="J47" s="39" t="s">
        <v>418</v>
      </c>
      <c r="K47" s="44">
        <v>9167739394</v>
      </c>
      <c r="L47" s="46" t="s">
        <v>419</v>
      </c>
      <c r="M47" s="44" t="s">
        <v>420</v>
      </c>
      <c r="N47" s="41">
        <v>44910</v>
      </c>
      <c r="O47" s="44" t="s">
        <v>421</v>
      </c>
      <c r="P47" s="44" t="s">
        <v>38</v>
      </c>
      <c r="Q47" s="62" t="s">
        <v>41</v>
      </c>
      <c r="R47" s="62" t="s">
        <v>42</v>
      </c>
      <c r="S47" s="62" t="s">
        <v>30</v>
      </c>
      <c r="T47" s="62" t="s">
        <v>30</v>
      </c>
      <c r="U47" s="67">
        <v>16000</v>
      </c>
      <c r="V47" s="68">
        <v>30</v>
      </c>
      <c r="W47" s="68">
        <v>0</v>
      </c>
      <c r="X47" s="68">
        <f t="shared" si="34"/>
        <v>30</v>
      </c>
      <c r="Y47" s="67">
        <f t="shared" si="37"/>
        <v>533.33333333333337</v>
      </c>
      <c r="Z47" s="67">
        <f t="shared" si="38"/>
        <v>16000.000000000002</v>
      </c>
      <c r="AA47" s="67">
        <v>16000</v>
      </c>
      <c r="AB47" s="67">
        <v>0</v>
      </c>
      <c r="AC47" s="67">
        <f t="shared" si="44"/>
        <v>0</v>
      </c>
      <c r="AD47" s="67">
        <f t="shared" si="39"/>
        <v>16000</v>
      </c>
      <c r="AE47" s="67">
        <f t="shared" si="4"/>
        <v>16000</v>
      </c>
      <c r="AF47" s="67">
        <f t="shared" si="5"/>
        <v>0</v>
      </c>
      <c r="AG47" s="67">
        <f t="shared" si="6"/>
        <v>0</v>
      </c>
      <c r="AH47" s="67"/>
      <c r="AI47" s="67">
        <f t="shared" si="40"/>
        <v>16000</v>
      </c>
      <c r="AJ47" s="67">
        <f t="shared" si="41"/>
        <v>1.8189894035458565E-12</v>
      </c>
      <c r="AK47" s="67">
        <f t="shared" si="35"/>
        <v>0</v>
      </c>
      <c r="AL47" s="67">
        <f t="shared" si="36"/>
        <v>0</v>
      </c>
      <c r="AM47" s="67"/>
      <c r="AN47" s="69">
        <v>0</v>
      </c>
      <c r="AO47" s="67">
        <f t="shared" si="45"/>
        <v>320</v>
      </c>
      <c r="AP47" s="67"/>
      <c r="AQ47" s="67">
        <f t="shared" si="42"/>
        <v>15680</v>
      </c>
      <c r="AR47" s="70" t="s">
        <v>311</v>
      </c>
      <c r="AS47" s="62" t="s">
        <v>38</v>
      </c>
      <c r="AT47" s="62" t="s">
        <v>178</v>
      </c>
      <c r="AU47" s="75" t="s">
        <v>422</v>
      </c>
      <c r="AV47" s="62" t="s">
        <v>182</v>
      </c>
      <c r="AW47" s="68" t="s">
        <v>730</v>
      </c>
      <c r="AX47" s="71">
        <f t="shared" si="24"/>
        <v>0</v>
      </c>
      <c r="AY47" s="71">
        <f t="shared" si="25"/>
        <v>0</v>
      </c>
      <c r="AZ47" s="71">
        <f t="shared" si="26"/>
        <v>0</v>
      </c>
      <c r="BA47" s="71">
        <f t="shared" si="27"/>
        <v>0</v>
      </c>
      <c r="BB47" s="71"/>
      <c r="BC47" s="71">
        <f t="shared" si="28"/>
        <v>0</v>
      </c>
      <c r="BD47" s="71">
        <f t="shared" si="29"/>
        <v>0</v>
      </c>
      <c r="BE47" s="71">
        <f t="shared" si="30"/>
        <v>0</v>
      </c>
      <c r="BF47" s="71">
        <f t="shared" si="31"/>
        <v>0</v>
      </c>
      <c r="BG47" s="71">
        <f t="shared" si="43"/>
        <v>16000</v>
      </c>
      <c r="BH47" s="71"/>
      <c r="BI47" s="71"/>
      <c r="BJ47" s="62"/>
      <c r="BK47" s="72">
        <f t="shared" si="32"/>
        <v>39</v>
      </c>
      <c r="BL47" s="76" t="s">
        <v>423</v>
      </c>
      <c r="BM47" s="62" t="s">
        <v>163</v>
      </c>
      <c r="BN47" s="68" t="s">
        <v>298</v>
      </c>
      <c r="BO47" s="62" t="s">
        <v>290</v>
      </c>
    </row>
    <row r="48" spans="1:67" s="74" customFormat="1" hidden="1" x14ac:dyDescent="0.3">
      <c r="A48" s="62">
        <v>42</v>
      </c>
      <c r="B48" s="62" t="s">
        <v>557</v>
      </c>
      <c r="C48" s="62" t="s">
        <v>446</v>
      </c>
      <c r="D48" s="62"/>
      <c r="E48" s="48" t="s">
        <v>59</v>
      </c>
      <c r="F48" s="38">
        <v>25374</v>
      </c>
      <c r="G48" s="44" t="s">
        <v>424</v>
      </c>
      <c r="H48" s="44" t="s">
        <v>101</v>
      </c>
      <c r="I48" s="64" t="s">
        <v>425</v>
      </c>
      <c r="J48" s="44" t="s">
        <v>112</v>
      </c>
      <c r="K48" s="44">
        <v>9324448126</v>
      </c>
      <c r="L48" s="40">
        <v>755011550738</v>
      </c>
      <c r="M48" s="44" t="s">
        <v>426</v>
      </c>
      <c r="N48" s="41">
        <v>41762</v>
      </c>
      <c r="O48" s="44" t="s">
        <v>44</v>
      </c>
      <c r="P48" s="44" t="s">
        <v>38</v>
      </c>
      <c r="Q48" s="62" t="s">
        <v>41</v>
      </c>
      <c r="R48" s="62" t="s">
        <v>42</v>
      </c>
      <c r="S48" s="62" t="s">
        <v>30</v>
      </c>
      <c r="T48" s="62" t="s">
        <v>30</v>
      </c>
      <c r="U48" s="67">
        <v>16000</v>
      </c>
      <c r="V48" s="68">
        <v>30</v>
      </c>
      <c r="W48" s="68">
        <v>0</v>
      </c>
      <c r="X48" s="68">
        <f t="shared" si="34"/>
        <v>30</v>
      </c>
      <c r="Y48" s="67">
        <f t="shared" si="37"/>
        <v>533.33333333333337</v>
      </c>
      <c r="Z48" s="67">
        <f t="shared" si="38"/>
        <v>16000.000000000002</v>
      </c>
      <c r="AA48" s="67">
        <v>16000</v>
      </c>
      <c r="AB48" s="67">
        <v>0</v>
      </c>
      <c r="AC48" s="67">
        <f t="shared" si="44"/>
        <v>0</v>
      </c>
      <c r="AD48" s="67">
        <f t="shared" si="39"/>
        <v>16000</v>
      </c>
      <c r="AE48" s="67">
        <f t="shared" si="4"/>
        <v>16000</v>
      </c>
      <c r="AF48" s="67">
        <f t="shared" si="5"/>
        <v>0</v>
      </c>
      <c r="AG48" s="67">
        <f t="shared" si="6"/>
        <v>0</v>
      </c>
      <c r="AH48" s="67"/>
      <c r="AI48" s="67">
        <f t="shared" si="40"/>
        <v>16000</v>
      </c>
      <c r="AJ48" s="67">
        <f t="shared" si="41"/>
        <v>1.8189894035458565E-12</v>
      </c>
      <c r="AK48" s="67">
        <f t="shared" si="35"/>
        <v>0</v>
      </c>
      <c r="AL48" s="67">
        <f t="shared" si="36"/>
        <v>0</v>
      </c>
      <c r="AM48" s="67"/>
      <c r="AN48" s="69">
        <v>0</v>
      </c>
      <c r="AO48" s="67">
        <f t="shared" si="45"/>
        <v>320</v>
      </c>
      <c r="AP48" s="67"/>
      <c r="AQ48" s="67">
        <f t="shared" si="42"/>
        <v>15680</v>
      </c>
      <c r="AR48" s="70" t="s">
        <v>311</v>
      </c>
      <c r="AS48" s="62" t="s">
        <v>38</v>
      </c>
      <c r="AT48" s="62" t="s">
        <v>178</v>
      </c>
      <c r="AU48" s="75" t="s">
        <v>427</v>
      </c>
      <c r="AV48" s="62" t="s">
        <v>182</v>
      </c>
      <c r="AW48" s="68" t="s">
        <v>731</v>
      </c>
      <c r="AX48" s="71">
        <f t="shared" si="24"/>
        <v>0</v>
      </c>
      <c r="AY48" s="71">
        <f t="shared" si="25"/>
        <v>0</v>
      </c>
      <c r="AZ48" s="71">
        <f t="shared" si="26"/>
        <v>0</v>
      </c>
      <c r="BA48" s="71">
        <f t="shared" si="27"/>
        <v>0</v>
      </c>
      <c r="BB48" s="71"/>
      <c r="BC48" s="71">
        <f t="shared" si="28"/>
        <v>0</v>
      </c>
      <c r="BD48" s="71">
        <f t="shared" si="29"/>
        <v>0</v>
      </c>
      <c r="BE48" s="71">
        <f t="shared" si="30"/>
        <v>0</v>
      </c>
      <c r="BF48" s="71">
        <f t="shared" si="31"/>
        <v>0</v>
      </c>
      <c r="BG48" s="71">
        <f t="shared" si="43"/>
        <v>16000</v>
      </c>
      <c r="BH48" s="71"/>
      <c r="BI48" s="71"/>
      <c r="BJ48" s="62"/>
      <c r="BK48" s="72">
        <f t="shared" si="32"/>
        <v>142</v>
      </c>
      <c r="BL48" s="76" t="s">
        <v>428</v>
      </c>
      <c r="BM48" s="62" t="s">
        <v>163</v>
      </c>
      <c r="BN48" s="68" t="s">
        <v>298</v>
      </c>
      <c r="BO48" s="62" t="s">
        <v>290</v>
      </c>
    </row>
    <row r="49" spans="1:67" s="74" customFormat="1" hidden="1" x14ac:dyDescent="0.3">
      <c r="A49" s="62">
        <v>43</v>
      </c>
      <c r="B49" s="62" t="s">
        <v>558</v>
      </c>
      <c r="C49" s="62" t="s">
        <v>429</v>
      </c>
      <c r="D49" s="62"/>
      <c r="E49" s="48" t="s">
        <v>59</v>
      </c>
      <c r="F49" s="38">
        <v>33887</v>
      </c>
      <c r="G49" s="44" t="s">
        <v>430</v>
      </c>
      <c r="H49" s="44" t="s">
        <v>100</v>
      </c>
      <c r="I49" s="64" t="s">
        <v>431</v>
      </c>
      <c r="J49" s="39" t="s">
        <v>432</v>
      </c>
      <c r="K49" s="44">
        <v>8793809980</v>
      </c>
      <c r="L49" s="40" t="s">
        <v>433</v>
      </c>
      <c r="M49" s="44" t="s">
        <v>434</v>
      </c>
      <c r="N49" s="38">
        <v>45738</v>
      </c>
      <c r="O49" s="44" t="s">
        <v>44</v>
      </c>
      <c r="P49" s="44" t="s">
        <v>38</v>
      </c>
      <c r="Q49" s="62" t="s">
        <v>41</v>
      </c>
      <c r="R49" s="62" t="s">
        <v>42</v>
      </c>
      <c r="S49" s="62" t="s">
        <v>30</v>
      </c>
      <c r="T49" s="62" t="s">
        <v>30</v>
      </c>
      <c r="U49" s="67">
        <v>12000</v>
      </c>
      <c r="V49" s="68">
        <v>30</v>
      </c>
      <c r="W49" s="68">
        <v>0</v>
      </c>
      <c r="X49" s="72">
        <f t="shared" si="34"/>
        <v>30</v>
      </c>
      <c r="Y49" s="78">
        <f t="shared" si="37"/>
        <v>400</v>
      </c>
      <c r="Z49" s="67">
        <f t="shared" si="38"/>
        <v>12000</v>
      </c>
      <c r="AA49" s="67">
        <f>+U49</f>
        <v>12000</v>
      </c>
      <c r="AB49" s="67"/>
      <c r="AC49" s="67"/>
      <c r="AD49" s="67">
        <f t="shared" si="39"/>
        <v>12000</v>
      </c>
      <c r="AE49" s="67">
        <f t="shared" si="4"/>
        <v>12000</v>
      </c>
      <c r="AF49" s="67">
        <f t="shared" si="5"/>
        <v>0</v>
      </c>
      <c r="AG49" s="67">
        <f t="shared" si="6"/>
        <v>0</v>
      </c>
      <c r="AH49" s="67"/>
      <c r="AI49" s="67">
        <f t="shared" si="40"/>
        <v>12000</v>
      </c>
      <c r="AJ49" s="67">
        <f t="shared" si="41"/>
        <v>0</v>
      </c>
      <c r="AK49" s="67">
        <f t="shared" si="35"/>
        <v>0</v>
      </c>
      <c r="AL49" s="67"/>
      <c r="AM49" s="67">
        <v>0</v>
      </c>
      <c r="AN49" s="69">
        <v>0</v>
      </c>
      <c r="AO49" s="67">
        <f t="shared" si="45"/>
        <v>240</v>
      </c>
      <c r="AP49" s="67">
        <v>0</v>
      </c>
      <c r="AQ49" s="67">
        <f t="shared" si="42"/>
        <v>11760</v>
      </c>
      <c r="AR49" s="70" t="s">
        <v>311</v>
      </c>
      <c r="AS49" s="62" t="s">
        <v>38</v>
      </c>
      <c r="AT49" s="62" t="s">
        <v>84</v>
      </c>
      <c r="AU49" s="65" t="s">
        <v>435</v>
      </c>
      <c r="AV49" s="62" t="s">
        <v>436</v>
      </c>
      <c r="AW49" s="68" t="s">
        <v>732</v>
      </c>
      <c r="AX49" s="71">
        <f t="shared" si="24"/>
        <v>0</v>
      </c>
      <c r="AY49" s="71">
        <f t="shared" si="25"/>
        <v>0</v>
      </c>
      <c r="AZ49" s="71">
        <f t="shared" si="26"/>
        <v>0</v>
      </c>
      <c r="BA49" s="71">
        <f t="shared" si="27"/>
        <v>0</v>
      </c>
      <c r="BB49" s="71"/>
      <c r="BC49" s="71">
        <f t="shared" si="28"/>
        <v>0</v>
      </c>
      <c r="BD49" s="71">
        <f t="shared" si="29"/>
        <v>0</v>
      </c>
      <c r="BE49" s="71">
        <f t="shared" si="30"/>
        <v>0</v>
      </c>
      <c r="BF49" s="71">
        <f t="shared" si="31"/>
        <v>0</v>
      </c>
      <c r="BG49" s="71">
        <f t="shared" si="43"/>
        <v>12000</v>
      </c>
      <c r="BH49" s="71"/>
      <c r="BI49" s="71"/>
      <c r="BJ49" s="62"/>
      <c r="BK49" s="72">
        <f t="shared" si="32"/>
        <v>12</v>
      </c>
      <c r="BL49" s="76" t="s">
        <v>222</v>
      </c>
      <c r="BM49" s="62"/>
      <c r="BN49" s="66"/>
      <c r="BO49" s="62"/>
    </row>
    <row r="50" spans="1:67" s="74" customFormat="1" ht="16.5" customHeight="1" x14ac:dyDescent="0.3">
      <c r="A50" s="62">
        <v>44</v>
      </c>
      <c r="B50" s="62" t="s">
        <v>559</v>
      </c>
      <c r="C50" s="62" t="s">
        <v>445</v>
      </c>
      <c r="D50" s="62"/>
      <c r="E50" s="48" t="s">
        <v>60</v>
      </c>
      <c r="F50" s="38">
        <v>36155</v>
      </c>
      <c r="G50" s="44" t="s">
        <v>437</v>
      </c>
      <c r="H50" s="44" t="s">
        <v>100</v>
      </c>
      <c r="I50" s="64" t="s">
        <v>438</v>
      </c>
      <c r="J50" s="39" t="s">
        <v>439</v>
      </c>
      <c r="K50" s="44">
        <v>8652710229</v>
      </c>
      <c r="L50" s="40" t="s">
        <v>440</v>
      </c>
      <c r="M50" s="44" t="s">
        <v>441</v>
      </c>
      <c r="N50" s="41">
        <v>45756</v>
      </c>
      <c r="O50" s="44" t="s">
        <v>220</v>
      </c>
      <c r="P50" s="44" t="s">
        <v>214</v>
      </c>
      <c r="Q50" s="62" t="s">
        <v>257</v>
      </c>
      <c r="R50" s="62" t="s">
        <v>43</v>
      </c>
      <c r="S50" s="62" t="s">
        <v>30</v>
      </c>
      <c r="T50" s="62" t="s">
        <v>30</v>
      </c>
      <c r="U50" s="67">
        <v>16000</v>
      </c>
      <c r="V50" s="68">
        <v>30</v>
      </c>
      <c r="W50" s="68">
        <v>0</v>
      </c>
      <c r="X50" s="68">
        <f t="shared" si="34"/>
        <v>30</v>
      </c>
      <c r="Y50" s="67">
        <f t="shared" si="37"/>
        <v>533.33333333333337</v>
      </c>
      <c r="Z50" s="67">
        <f t="shared" si="38"/>
        <v>16000.000000000002</v>
      </c>
      <c r="AA50" s="67">
        <v>16000</v>
      </c>
      <c r="AB50" s="67">
        <v>0</v>
      </c>
      <c r="AC50" s="67">
        <f>+U50-AA50-AB50</f>
        <v>0</v>
      </c>
      <c r="AD50" s="67">
        <f t="shared" si="39"/>
        <v>16000</v>
      </c>
      <c r="AE50" s="67">
        <f t="shared" si="4"/>
        <v>16000</v>
      </c>
      <c r="AF50" s="67">
        <f t="shared" si="5"/>
        <v>0</v>
      </c>
      <c r="AG50" s="67">
        <f t="shared" si="6"/>
        <v>0</v>
      </c>
      <c r="AH50" s="67"/>
      <c r="AI50" s="67">
        <f t="shared" si="40"/>
        <v>16000</v>
      </c>
      <c r="AJ50" s="67">
        <f t="shared" si="41"/>
        <v>1.8189894035458565E-12</v>
      </c>
      <c r="AK50" s="67">
        <f t="shared" si="35"/>
        <v>0</v>
      </c>
      <c r="AL50" s="67">
        <f>IF(T50="YES",AI50*0.75%,0)</f>
        <v>0</v>
      </c>
      <c r="AM50" s="67"/>
      <c r="AN50" s="69">
        <v>0</v>
      </c>
      <c r="AO50" s="67">
        <f t="shared" si="45"/>
        <v>320</v>
      </c>
      <c r="AP50" s="67"/>
      <c r="AQ50" s="67">
        <f t="shared" si="42"/>
        <v>15680</v>
      </c>
      <c r="AR50" s="70" t="s">
        <v>311</v>
      </c>
      <c r="AS50" s="62" t="s">
        <v>214</v>
      </c>
      <c r="AT50" s="62" t="s">
        <v>442</v>
      </c>
      <c r="AU50" s="75" t="s">
        <v>444</v>
      </c>
      <c r="AV50" s="62" t="s">
        <v>443</v>
      </c>
      <c r="AW50" s="68" t="s">
        <v>733</v>
      </c>
      <c r="AX50" s="71">
        <f t="shared" si="24"/>
        <v>0</v>
      </c>
      <c r="AY50" s="71">
        <f t="shared" si="25"/>
        <v>0</v>
      </c>
      <c r="AZ50" s="71">
        <f t="shared" si="26"/>
        <v>0</v>
      </c>
      <c r="BA50" s="71">
        <f t="shared" si="27"/>
        <v>0</v>
      </c>
      <c r="BB50" s="71"/>
      <c r="BC50" s="71">
        <f t="shared" si="28"/>
        <v>0</v>
      </c>
      <c r="BD50" s="71">
        <f t="shared" si="29"/>
        <v>0</v>
      </c>
      <c r="BE50" s="71">
        <f t="shared" si="30"/>
        <v>0</v>
      </c>
      <c r="BF50" s="71">
        <f t="shared" si="31"/>
        <v>0</v>
      </c>
      <c r="BG50" s="71">
        <f t="shared" si="43"/>
        <v>16000</v>
      </c>
      <c r="BH50" s="71"/>
      <c r="BI50" s="71"/>
      <c r="BJ50" s="62"/>
      <c r="BK50" s="72">
        <f t="shared" si="32"/>
        <v>11</v>
      </c>
      <c r="BL50" s="76"/>
      <c r="BM50" s="62"/>
      <c r="BN50" s="66"/>
      <c r="BO50" s="62"/>
    </row>
    <row r="51" spans="1:67" s="74" customFormat="1" ht="16.5" customHeight="1" x14ac:dyDescent="0.3">
      <c r="A51" s="62">
        <v>45</v>
      </c>
      <c r="B51" s="62" t="s">
        <v>560</v>
      </c>
      <c r="C51" s="62" t="s">
        <v>451</v>
      </c>
      <c r="D51" s="62"/>
      <c r="E51" s="62" t="s">
        <v>59</v>
      </c>
      <c r="F51" s="63">
        <v>37845</v>
      </c>
      <c r="G51" s="90" t="s">
        <v>454</v>
      </c>
      <c r="H51" s="90" t="s">
        <v>100</v>
      </c>
      <c r="I51" s="64" t="s">
        <v>455</v>
      </c>
      <c r="J51" s="91" t="s">
        <v>496</v>
      </c>
      <c r="K51" s="88">
        <v>8237432558</v>
      </c>
      <c r="L51" s="88" t="s">
        <v>456</v>
      </c>
      <c r="M51" s="64" t="s">
        <v>457</v>
      </c>
      <c r="N51" s="66">
        <v>45915</v>
      </c>
      <c r="O51" s="64" t="s">
        <v>233</v>
      </c>
      <c r="P51" s="64" t="s">
        <v>214</v>
      </c>
      <c r="Q51" s="62" t="s">
        <v>234</v>
      </c>
      <c r="R51" s="62" t="s">
        <v>42</v>
      </c>
      <c r="S51" s="62" t="s">
        <v>30</v>
      </c>
      <c r="T51" s="62" t="s">
        <v>30</v>
      </c>
      <c r="U51" s="67">
        <v>22500</v>
      </c>
      <c r="V51" s="68">
        <v>30</v>
      </c>
      <c r="W51" s="68">
        <v>0.5</v>
      </c>
      <c r="X51" s="68">
        <f t="shared" si="34"/>
        <v>29.5</v>
      </c>
      <c r="Y51" s="67">
        <f t="shared" si="37"/>
        <v>750</v>
      </c>
      <c r="Z51" s="67">
        <f t="shared" si="38"/>
        <v>22125</v>
      </c>
      <c r="AA51" s="67">
        <f>+U51</f>
        <v>22500</v>
      </c>
      <c r="AB51" s="67"/>
      <c r="AC51" s="67"/>
      <c r="AD51" s="67">
        <f t="shared" si="39"/>
        <v>22500</v>
      </c>
      <c r="AE51" s="67">
        <f t="shared" ref="AE51:AE61" si="46">ROUND(AA51*$X51/$V51,0)</f>
        <v>22125</v>
      </c>
      <c r="AF51" s="67"/>
      <c r="AG51" s="67"/>
      <c r="AH51" s="67"/>
      <c r="AI51" s="67">
        <f t="shared" si="40"/>
        <v>22125</v>
      </c>
      <c r="AJ51" s="67">
        <f t="shared" si="41"/>
        <v>0</v>
      </c>
      <c r="AK51" s="67"/>
      <c r="AL51" s="67"/>
      <c r="AM51" s="67"/>
      <c r="AN51" s="69">
        <v>0</v>
      </c>
      <c r="AO51" s="67">
        <f t="shared" si="45"/>
        <v>442.5</v>
      </c>
      <c r="AP51" s="67"/>
      <c r="AQ51" s="67">
        <f t="shared" si="42"/>
        <v>21683</v>
      </c>
      <c r="AR51" s="70" t="s">
        <v>311</v>
      </c>
      <c r="AS51" s="62" t="s">
        <v>214</v>
      </c>
      <c r="AT51" s="62" t="s">
        <v>216</v>
      </c>
      <c r="AU51" s="80" t="s">
        <v>452</v>
      </c>
      <c r="AV51" s="62" t="s">
        <v>453</v>
      </c>
      <c r="AW51" s="68" t="s">
        <v>734</v>
      </c>
      <c r="AX51" s="71">
        <f t="shared" si="24"/>
        <v>0</v>
      </c>
      <c r="AY51" s="71">
        <f t="shared" si="25"/>
        <v>0</v>
      </c>
      <c r="AZ51" s="71">
        <f t="shared" si="26"/>
        <v>0</v>
      </c>
      <c r="BA51" s="71">
        <f t="shared" si="27"/>
        <v>0</v>
      </c>
      <c r="BB51" s="71"/>
      <c r="BC51" s="71">
        <f t="shared" si="28"/>
        <v>0</v>
      </c>
      <c r="BD51" s="71">
        <f t="shared" si="29"/>
        <v>0</v>
      </c>
      <c r="BE51" s="71">
        <f t="shared" si="30"/>
        <v>0</v>
      </c>
      <c r="BF51" s="71">
        <f t="shared" si="31"/>
        <v>0</v>
      </c>
      <c r="BG51" s="71">
        <f t="shared" si="43"/>
        <v>22125</v>
      </c>
      <c r="BH51" s="71"/>
      <c r="BI51" s="71"/>
      <c r="BJ51" s="62"/>
      <c r="BK51" s="72">
        <f t="shared" si="32"/>
        <v>6</v>
      </c>
      <c r="BL51" s="62"/>
      <c r="BM51" s="64"/>
      <c r="BN51" s="66"/>
      <c r="BO51" s="62"/>
    </row>
    <row r="52" spans="1:67" s="74" customFormat="1" x14ac:dyDescent="0.3">
      <c r="A52" s="62">
        <v>46</v>
      </c>
      <c r="B52" s="62" t="s">
        <v>561</v>
      </c>
      <c r="C52" s="116" t="s">
        <v>470</v>
      </c>
      <c r="D52" s="62"/>
      <c r="E52" s="48" t="s">
        <v>60</v>
      </c>
      <c r="F52" s="38">
        <v>34449</v>
      </c>
      <c r="G52" s="47" t="s">
        <v>469</v>
      </c>
      <c r="H52" s="44" t="s">
        <v>459</v>
      </c>
      <c r="I52" s="64" t="s">
        <v>463</v>
      </c>
      <c r="J52" s="39" t="s">
        <v>464</v>
      </c>
      <c r="K52" s="40">
        <v>8652658357</v>
      </c>
      <c r="L52" s="40">
        <v>596222783432</v>
      </c>
      <c r="M52" s="44" t="s">
        <v>465</v>
      </c>
      <c r="N52" s="41">
        <v>45993</v>
      </c>
      <c r="O52" s="44" t="s">
        <v>215</v>
      </c>
      <c r="P52" s="44" t="s">
        <v>214</v>
      </c>
      <c r="Q52" s="62" t="s">
        <v>466</v>
      </c>
      <c r="R52" s="62" t="s">
        <v>460</v>
      </c>
      <c r="S52" s="62" t="s">
        <v>30</v>
      </c>
      <c r="T52" s="62" t="s">
        <v>30</v>
      </c>
      <c r="U52" s="67">
        <v>17000</v>
      </c>
      <c r="V52" s="68">
        <v>30</v>
      </c>
      <c r="W52" s="68">
        <v>2</v>
      </c>
      <c r="X52" s="68">
        <f t="shared" si="34"/>
        <v>28</v>
      </c>
      <c r="Y52" s="67">
        <f t="shared" si="37"/>
        <v>566.66666666666663</v>
      </c>
      <c r="Z52" s="67">
        <f t="shared" si="38"/>
        <v>15866.666666666666</v>
      </c>
      <c r="AA52" s="67">
        <v>17000</v>
      </c>
      <c r="AB52" s="67"/>
      <c r="AC52" s="67"/>
      <c r="AD52" s="67">
        <f t="shared" si="39"/>
        <v>17000</v>
      </c>
      <c r="AE52" s="67">
        <f t="shared" si="46"/>
        <v>15867</v>
      </c>
      <c r="AF52" s="67">
        <f>ROUND(AB52*$X52/$V52,0)</f>
        <v>0</v>
      </c>
      <c r="AG52" s="67">
        <f>ROUND(AC52*$X52/$V52,0)</f>
        <v>0</v>
      </c>
      <c r="AH52" s="67"/>
      <c r="AI52" s="67">
        <f t="shared" si="40"/>
        <v>15867</v>
      </c>
      <c r="AJ52" s="67">
        <f t="shared" si="41"/>
        <v>-0.33333333333393966</v>
      </c>
      <c r="AK52" s="67"/>
      <c r="AL52" s="67"/>
      <c r="AM52" s="67"/>
      <c r="AN52" s="69">
        <v>0</v>
      </c>
      <c r="AO52" s="67">
        <f t="shared" si="45"/>
        <v>317.34000000000003</v>
      </c>
      <c r="AP52" s="67"/>
      <c r="AQ52" s="67">
        <f t="shared" si="42"/>
        <v>15550</v>
      </c>
      <c r="AR52" s="70" t="s">
        <v>311</v>
      </c>
      <c r="AS52" s="62" t="s">
        <v>214</v>
      </c>
      <c r="AT52" s="62" t="s">
        <v>106</v>
      </c>
      <c r="AU52" s="80" t="s">
        <v>467</v>
      </c>
      <c r="AV52" s="62" t="s">
        <v>468</v>
      </c>
      <c r="AW52" s="68" t="s">
        <v>735</v>
      </c>
      <c r="AX52" s="71">
        <v>0</v>
      </c>
      <c r="AY52" s="71">
        <v>0</v>
      </c>
      <c r="AZ52" s="71">
        <v>0</v>
      </c>
      <c r="BA52" s="71">
        <f t="shared" si="27"/>
        <v>0</v>
      </c>
      <c r="BB52" s="71"/>
      <c r="BC52" s="71">
        <v>0</v>
      </c>
      <c r="BD52" s="71">
        <v>0</v>
      </c>
      <c r="BE52" s="71">
        <v>0</v>
      </c>
      <c r="BF52" s="71">
        <f t="shared" si="31"/>
        <v>0</v>
      </c>
      <c r="BG52" s="71">
        <f t="shared" si="43"/>
        <v>15867</v>
      </c>
      <c r="BH52" s="71"/>
      <c r="BI52" s="71"/>
      <c r="BJ52" s="62"/>
      <c r="BK52" s="72">
        <f t="shared" si="32"/>
        <v>3</v>
      </c>
      <c r="BL52" s="62"/>
      <c r="BM52" s="64"/>
      <c r="BN52" s="66"/>
      <c r="BO52" s="62"/>
    </row>
    <row r="53" spans="1:67" s="74" customFormat="1" hidden="1" x14ac:dyDescent="0.3">
      <c r="A53" s="62">
        <v>47</v>
      </c>
      <c r="B53" s="62" t="s">
        <v>562</v>
      </c>
      <c r="C53" s="62" t="s">
        <v>481</v>
      </c>
      <c r="D53" s="62"/>
      <c r="E53" s="48" t="s">
        <v>60</v>
      </c>
      <c r="F53" s="38">
        <v>30281</v>
      </c>
      <c r="G53" s="44" t="s">
        <v>482</v>
      </c>
      <c r="H53" s="44" t="s">
        <v>101</v>
      </c>
      <c r="I53" s="44" t="s">
        <v>483</v>
      </c>
      <c r="J53" s="45" t="s">
        <v>484</v>
      </c>
      <c r="K53" s="44">
        <v>9325864912</v>
      </c>
      <c r="L53" s="61" t="s">
        <v>485</v>
      </c>
      <c r="M53" s="44" t="s">
        <v>486</v>
      </c>
      <c r="N53" s="41">
        <v>45604</v>
      </c>
      <c r="O53" s="44" t="s">
        <v>313</v>
      </c>
      <c r="P53" s="44" t="s">
        <v>214</v>
      </c>
      <c r="Q53" s="62" t="s">
        <v>487</v>
      </c>
      <c r="R53" s="64" t="s">
        <v>488</v>
      </c>
      <c r="S53" s="62" t="s">
        <v>30</v>
      </c>
      <c r="T53" s="62" t="s">
        <v>30</v>
      </c>
      <c r="U53" s="67">
        <f>72000-25000</f>
        <v>47000</v>
      </c>
      <c r="V53" s="68">
        <v>30</v>
      </c>
      <c r="W53" s="68">
        <v>0</v>
      </c>
      <c r="X53" s="72">
        <f t="shared" si="34"/>
        <v>30</v>
      </c>
      <c r="Y53" s="78">
        <f t="shared" si="37"/>
        <v>1566.6666666666667</v>
      </c>
      <c r="Z53" s="67">
        <f t="shared" si="38"/>
        <v>47000</v>
      </c>
      <c r="AA53" s="67">
        <v>25000</v>
      </c>
      <c r="AB53" s="67">
        <v>12500</v>
      </c>
      <c r="AC53" s="67">
        <f>+U53-AA53-AB53</f>
        <v>9500</v>
      </c>
      <c r="AD53" s="67">
        <f t="shared" si="39"/>
        <v>47000</v>
      </c>
      <c r="AE53" s="67">
        <f t="shared" si="46"/>
        <v>25000</v>
      </c>
      <c r="AF53" s="67">
        <f>ROUND(AB53*$X53/$V53,0)</f>
        <v>12500</v>
      </c>
      <c r="AG53" s="67">
        <f>ROUND(AC53*$X53/$V53,0)</f>
        <v>9500</v>
      </c>
      <c r="AH53" s="67"/>
      <c r="AI53" s="67">
        <f t="shared" si="40"/>
        <v>47000</v>
      </c>
      <c r="AJ53" s="67">
        <f t="shared" si="41"/>
        <v>0</v>
      </c>
      <c r="AK53" s="67">
        <f>IF(S53="YES",MIN(AE53*12%,1800),0)</f>
        <v>0</v>
      </c>
      <c r="AL53" s="67">
        <f>IF(T53="YES",AI53*0.75%,0)</f>
        <v>0</v>
      </c>
      <c r="AM53" s="67">
        <f>IF((AI53)&gt;25000,200,IF((AI53)&gt;7500,0,0))</f>
        <v>200</v>
      </c>
      <c r="AN53" s="69">
        <v>0</v>
      </c>
      <c r="AO53" s="67">
        <v>0</v>
      </c>
      <c r="AP53" s="67"/>
      <c r="AQ53" s="67">
        <f t="shared" si="42"/>
        <v>46800</v>
      </c>
      <c r="AR53" s="62" t="s">
        <v>197</v>
      </c>
      <c r="AS53" s="62" t="s">
        <v>214</v>
      </c>
      <c r="AT53" s="62" t="s">
        <v>301</v>
      </c>
      <c r="AU53" s="76" t="s">
        <v>489</v>
      </c>
      <c r="AV53" s="62" t="s">
        <v>490</v>
      </c>
      <c r="AW53" s="68" t="s">
        <v>736</v>
      </c>
      <c r="AX53" s="71">
        <f t="shared" ref="AX53:AX61" si="47">IF(S53="Yes",AE53,0)</f>
        <v>0</v>
      </c>
      <c r="AY53" s="71">
        <f t="shared" ref="AY53:AY61" si="48">ROUND(AX53*12%,0)</f>
        <v>0</v>
      </c>
      <c r="AZ53" s="71">
        <f t="shared" ref="AZ53:AZ61" si="49">AY53-BA53</f>
        <v>0</v>
      </c>
      <c r="BA53" s="71">
        <f t="shared" si="27"/>
        <v>0</v>
      </c>
      <c r="BB53" s="71"/>
      <c r="BC53" s="71">
        <f t="shared" ref="BC53:BC61" si="50">IF(T53="Yes",AI53,0)</f>
        <v>0</v>
      </c>
      <c r="BD53" s="71">
        <f t="shared" ref="BD53:BD61" si="51">ROUNDUP(BC53*0.75%,0)</f>
        <v>0</v>
      </c>
      <c r="BE53" s="71">
        <f t="shared" ref="BE53:BE61" si="52">ROUND(BC53*3.25%,0)</f>
        <v>0</v>
      </c>
      <c r="BF53" s="71">
        <f t="shared" si="31"/>
        <v>0</v>
      </c>
      <c r="BG53" s="71">
        <f t="shared" si="43"/>
        <v>47000</v>
      </c>
      <c r="BH53" s="71"/>
      <c r="BI53" s="71"/>
      <c r="BJ53" s="62"/>
      <c r="BK53" s="72">
        <f t="shared" si="32"/>
        <v>16</v>
      </c>
      <c r="BL53" s="62" t="s">
        <v>222</v>
      </c>
      <c r="BM53" s="64" t="s">
        <v>491</v>
      </c>
      <c r="BN53" s="66">
        <v>45604</v>
      </c>
      <c r="BO53" s="62" t="s">
        <v>491</v>
      </c>
    </row>
    <row r="54" spans="1:67" s="74" customFormat="1" ht="16.5" customHeight="1" x14ac:dyDescent="0.3">
      <c r="A54" s="62">
        <v>48</v>
      </c>
      <c r="B54" s="62" t="s">
        <v>586</v>
      </c>
      <c r="C54" s="62" t="s">
        <v>587</v>
      </c>
      <c r="D54" s="62"/>
      <c r="E54" s="64" t="s">
        <v>60</v>
      </c>
      <c r="F54" s="63">
        <v>37954</v>
      </c>
      <c r="G54" s="64" t="s">
        <v>588</v>
      </c>
      <c r="H54" s="64" t="s">
        <v>100</v>
      </c>
      <c r="I54" s="64" t="s">
        <v>589</v>
      </c>
      <c r="J54" s="92" t="s">
        <v>590</v>
      </c>
      <c r="K54" s="92">
        <v>9321192907</v>
      </c>
      <c r="L54" s="65" t="s">
        <v>591</v>
      </c>
      <c r="M54" s="64" t="s">
        <v>592</v>
      </c>
      <c r="N54" s="63">
        <v>45993</v>
      </c>
      <c r="O54" s="64" t="s">
        <v>233</v>
      </c>
      <c r="P54" s="64" t="s">
        <v>214</v>
      </c>
      <c r="Q54" s="62" t="s">
        <v>487</v>
      </c>
      <c r="R54" s="64" t="s">
        <v>488</v>
      </c>
      <c r="S54" s="62" t="s">
        <v>30</v>
      </c>
      <c r="T54" s="62" t="s">
        <v>30</v>
      </c>
      <c r="U54" s="67">
        <v>12000</v>
      </c>
      <c r="V54" s="68">
        <v>30</v>
      </c>
      <c r="W54" s="68">
        <v>0</v>
      </c>
      <c r="X54" s="68">
        <f t="shared" si="34"/>
        <v>30</v>
      </c>
      <c r="Y54" s="78">
        <f t="shared" si="37"/>
        <v>400</v>
      </c>
      <c r="Z54" s="67">
        <f t="shared" si="38"/>
        <v>12000</v>
      </c>
      <c r="AA54" s="67">
        <f>+U54</f>
        <v>12000</v>
      </c>
      <c r="AB54" s="67">
        <v>0</v>
      </c>
      <c r="AC54" s="67">
        <v>0</v>
      </c>
      <c r="AD54" s="67">
        <f t="shared" si="39"/>
        <v>12000</v>
      </c>
      <c r="AE54" s="67">
        <f t="shared" si="46"/>
        <v>12000</v>
      </c>
      <c r="AF54" s="67"/>
      <c r="AG54" s="67"/>
      <c r="AH54" s="67"/>
      <c r="AI54" s="67">
        <f t="shared" si="40"/>
        <v>12000</v>
      </c>
      <c r="AJ54" s="67">
        <f t="shared" si="41"/>
        <v>0</v>
      </c>
      <c r="AK54" s="67"/>
      <c r="AL54" s="67"/>
      <c r="AM54" s="67"/>
      <c r="AN54" s="69"/>
      <c r="AO54" s="67">
        <f>+AI54*2%</f>
        <v>240</v>
      </c>
      <c r="AP54" s="67"/>
      <c r="AQ54" s="67">
        <f t="shared" si="42"/>
        <v>11760</v>
      </c>
      <c r="AR54" s="62" t="s">
        <v>311</v>
      </c>
      <c r="AS54" s="62" t="s">
        <v>214</v>
      </c>
      <c r="AT54" s="62" t="s">
        <v>492</v>
      </c>
      <c r="AU54" s="76" t="s">
        <v>593</v>
      </c>
      <c r="AV54" s="62" t="s">
        <v>594</v>
      </c>
      <c r="AW54" s="68" t="s">
        <v>737</v>
      </c>
      <c r="AX54" s="71">
        <f t="shared" si="47"/>
        <v>0</v>
      </c>
      <c r="AY54" s="71">
        <f t="shared" si="48"/>
        <v>0</v>
      </c>
      <c r="AZ54" s="71">
        <f t="shared" si="49"/>
        <v>0</v>
      </c>
      <c r="BA54" s="71">
        <f t="shared" si="27"/>
        <v>0</v>
      </c>
      <c r="BB54" s="71"/>
      <c r="BC54" s="71">
        <f t="shared" si="50"/>
        <v>0</v>
      </c>
      <c r="BD54" s="71">
        <f t="shared" si="51"/>
        <v>0</v>
      </c>
      <c r="BE54" s="71">
        <f t="shared" si="52"/>
        <v>0</v>
      </c>
      <c r="BF54" s="71">
        <f t="shared" si="31"/>
        <v>0</v>
      </c>
      <c r="BG54" s="71">
        <f t="shared" si="43"/>
        <v>12000</v>
      </c>
      <c r="BH54" s="71"/>
      <c r="BI54" s="71"/>
      <c r="BJ54" s="62"/>
      <c r="BK54" s="72">
        <f t="shared" si="32"/>
        <v>3</v>
      </c>
      <c r="BL54" s="62"/>
      <c r="BM54" s="62"/>
      <c r="BN54" s="68"/>
      <c r="BO54" s="71"/>
    </row>
    <row r="55" spans="1:67" s="74" customFormat="1" x14ac:dyDescent="0.3">
      <c r="A55" s="62">
        <v>49</v>
      </c>
      <c r="B55" s="62" t="s">
        <v>563</v>
      </c>
      <c r="C55" s="62" t="s">
        <v>516</v>
      </c>
      <c r="D55" s="62"/>
      <c r="E55" s="64" t="s">
        <v>60</v>
      </c>
      <c r="F55" s="63">
        <v>37822</v>
      </c>
      <c r="G55" s="64" t="s">
        <v>500</v>
      </c>
      <c r="H55" s="64" t="s">
        <v>100</v>
      </c>
      <c r="I55" s="64" t="s">
        <v>504</v>
      </c>
      <c r="J55" s="92" t="s">
        <v>505</v>
      </c>
      <c r="K55" s="104" t="s">
        <v>503</v>
      </c>
      <c r="L55" s="65" t="s">
        <v>506</v>
      </c>
      <c r="M55" s="64" t="s">
        <v>507</v>
      </c>
      <c r="N55" s="66">
        <v>46076</v>
      </c>
      <c r="O55" s="64" t="s">
        <v>215</v>
      </c>
      <c r="P55" s="64" t="s">
        <v>214</v>
      </c>
      <c r="Q55" s="62" t="s">
        <v>223</v>
      </c>
      <c r="R55" s="62" t="s">
        <v>43</v>
      </c>
      <c r="S55" s="62" t="s">
        <v>30</v>
      </c>
      <c r="T55" s="62" t="s">
        <v>30</v>
      </c>
      <c r="U55" s="67">
        <v>25000</v>
      </c>
      <c r="V55" s="68">
        <v>30</v>
      </c>
      <c r="W55" s="68">
        <v>8</v>
      </c>
      <c r="X55" s="68">
        <f t="shared" si="34"/>
        <v>22</v>
      </c>
      <c r="Y55" s="67">
        <f t="shared" si="37"/>
        <v>833.33333333333337</v>
      </c>
      <c r="Z55" s="67">
        <f t="shared" si="38"/>
        <v>18333.333333333336</v>
      </c>
      <c r="AA55" s="67">
        <v>25000</v>
      </c>
      <c r="AB55" s="67"/>
      <c r="AC55" s="67"/>
      <c r="AD55" s="67">
        <f t="shared" si="39"/>
        <v>25000</v>
      </c>
      <c r="AE55" s="67">
        <f t="shared" si="46"/>
        <v>18333</v>
      </c>
      <c r="AF55" s="67"/>
      <c r="AG55" s="67"/>
      <c r="AH55" s="67">
        <v>200</v>
      </c>
      <c r="AI55" s="67">
        <f t="shared" si="40"/>
        <v>18533</v>
      </c>
      <c r="AJ55" s="67">
        <f t="shared" si="41"/>
        <v>0.33333333333575865</v>
      </c>
      <c r="AK55" s="67"/>
      <c r="AL55" s="67"/>
      <c r="AM55" s="67"/>
      <c r="AN55" s="69"/>
      <c r="AO55" s="67">
        <f>AI55*2%</f>
        <v>370.66</v>
      </c>
      <c r="AP55" s="67"/>
      <c r="AQ55" s="67">
        <f t="shared" si="42"/>
        <v>18162</v>
      </c>
      <c r="AR55" s="70" t="s">
        <v>311</v>
      </c>
      <c r="AS55" s="62" t="s">
        <v>214</v>
      </c>
      <c r="AT55" s="62" t="s">
        <v>216</v>
      </c>
      <c r="AU55" s="65" t="s">
        <v>501</v>
      </c>
      <c r="AV55" s="62" t="s">
        <v>502</v>
      </c>
      <c r="AW55" s="68" t="s">
        <v>738</v>
      </c>
      <c r="AX55" s="71">
        <f t="shared" si="47"/>
        <v>0</v>
      </c>
      <c r="AY55" s="71">
        <f t="shared" si="48"/>
        <v>0</v>
      </c>
      <c r="AZ55" s="71">
        <f t="shared" si="49"/>
        <v>0</v>
      </c>
      <c r="BA55" s="71">
        <f t="shared" si="27"/>
        <v>0</v>
      </c>
      <c r="BB55" s="71"/>
      <c r="BC55" s="71">
        <f t="shared" si="50"/>
        <v>0</v>
      </c>
      <c r="BD55" s="71">
        <f t="shared" si="51"/>
        <v>0</v>
      </c>
      <c r="BE55" s="71">
        <f t="shared" si="52"/>
        <v>0</v>
      </c>
      <c r="BF55" s="71">
        <f t="shared" si="31"/>
        <v>0</v>
      </c>
      <c r="BG55" s="71">
        <f t="shared" si="43"/>
        <v>18533</v>
      </c>
      <c r="BH55" s="71"/>
      <c r="BI55" s="71"/>
      <c r="BJ55" s="62"/>
      <c r="BK55" s="72"/>
      <c r="BL55" s="62"/>
      <c r="BM55" s="62"/>
      <c r="BN55" s="66"/>
      <c r="BO55" s="62"/>
    </row>
    <row r="56" spans="1:67" s="74" customFormat="1" ht="15.75" customHeight="1" x14ac:dyDescent="0.3">
      <c r="A56" s="62">
        <v>50</v>
      </c>
      <c r="B56" s="62" t="s">
        <v>564</v>
      </c>
      <c r="C56" s="62" t="s">
        <v>517</v>
      </c>
      <c r="D56" s="62"/>
      <c r="E56" s="64" t="s">
        <v>60</v>
      </c>
      <c r="F56" s="63">
        <v>38650</v>
      </c>
      <c r="G56" s="64" t="s">
        <v>508</v>
      </c>
      <c r="H56" s="64"/>
      <c r="I56" s="64" t="s">
        <v>509</v>
      </c>
      <c r="J56" s="92" t="s">
        <v>510</v>
      </c>
      <c r="K56" s="64">
        <v>8369506697</v>
      </c>
      <c r="L56" s="65" t="s">
        <v>511</v>
      </c>
      <c r="M56" s="64" t="s">
        <v>512</v>
      </c>
      <c r="N56" s="66">
        <v>46087</v>
      </c>
      <c r="O56" s="64" t="s">
        <v>215</v>
      </c>
      <c r="P56" s="64" t="s">
        <v>214</v>
      </c>
      <c r="Q56" s="62" t="s">
        <v>234</v>
      </c>
      <c r="R56" s="62" t="s">
        <v>42</v>
      </c>
      <c r="S56" s="62" t="s">
        <v>30</v>
      </c>
      <c r="T56" s="62" t="s">
        <v>30</v>
      </c>
      <c r="U56" s="67">
        <v>18000</v>
      </c>
      <c r="V56" s="68">
        <v>30</v>
      </c>
      <c r="W56" s="68">
        <v>14</v>
      </c>
      <c r="X56" s="68">
        <f t="shared" si="34"/>
        <v>16</v>
      </c>
      <c r="Y56" s="67">
        <f t="shared" si="37"/>
        <v>600</v>
      </c>
      <c r="Z56" s="67">
        <f t="shared" si="38"/>
        <v>9600</v>
      </c>
      <c r="AA56" s="67">
        <f>+U56</f>
        <v>18000</v>
      </c>
      <c r="AB56" s="67"/>
      <c r="AC56" s="67"/>
      <c r="AD56" s="67">
        <f t="shared" si="39"/>
        <v>18000</v>
      </c>
      <c r="AE56" s="67">
        <f t="shared" si="46"/>
        <v>9600</v>
      </c>
      <c r="AF56" s="67"/>
      <c r="AG56" s="67"/>
      <c r="AH56" s="67"/>
      <c r="AI56" s="67">
        <f t="shared" si="40"/>
        <v>9600</v>
      </c>
      <c r="AJ56" s="67">
        <f t="shared" si="41"/>
        <v>0</v>
      </c>
      <c r="AK56" s="67"/>
      <c r="AL56" s="67"/>
      <c r="AM56" s="67"/>
      <c r="AN56" s="69"/>
      <c r="AO56" s="67">
        <f>AI56*2%</f>
        <v>192</v>
      </c>
      <c r="AP56" s="67"/>
      <c r="AQ56" s="67">
        <f t="shared" si="42"/>
        <v>9408</v>
      </c>
      <c r="AR56" s="70" t="s">
        <v>311</v>
      </c>
      <c r="AS56" s="62" t="s">
        <v>214</v>
      </c>
      <c r="AT56" s="62" t="s">
        <v>513</v>
      </c>
      <c r="AU56" s="65" t="s">
        <v>514</v>
      </c>
      <c r="AV56" s="62" t="s">
        <v>515</v>
      </c>
      <c r="AW56" s="68" t="s">
        <v>739</v>
      </c>
      <c r="AX56" s="71">
        <f t="shared" si="47"/>
        <v>0</v>
      </c>
      <c r="AY56" s="71">
        <f t="shared" si="48"/>
        <v>0</v>
      </c>
      <c r="AZ56" s="71">
        <f t="shared" si="49"/>
        <v>0</v>
      </c>
      <c r="BA56" s="71">
        <f t="shared" si="27"/>
        <v>0</v>
      </c>
      <c r="BB56" s="71"/>
      <c r="BC56" s="71">
        <f t="shared" si="50"/>
        <v>0</v>
      </c>
      <c r="BD56" s="71">
        <f t="shared" si="51"/>
        <v>0</v>
      </c>
      <c r="BE56" s="71">
        <f t="shared" si="52"/>
        <v>0</v>
      </c>
      <c r="BF56" s="71">
        <f t="shared" si="31"/>
        <v>0</v>
      </c>
      <c r="BG56" s="71">
        <f t="shared" si="43"/>
        <v>9600</v>
      </c>
      <c r="BH56" s="71"/>
      <c r="BI56" s="71"/>
      <c r="BJ56" s="62"/>
      <c r="BK56" s="72"/>
      <c r="BL56" s="62"/>
      <c r="BM56" s="62"/>
      <c r="BN56" s="66"/>
      <c r="BO56" s="62"/>
    </row>
    <row r="57" spans="1:67" s="74" customFormat="1" ht="15.75" customHeight="1" x14ac:dyDescent="0.3">
      <c r="A57" s="62">
        <v>51</v>
      </c>
      <c r="B57" s="62"/>
      <c r="C57" s="116" t="s">
        <v>600</v>
      </c>
      <c r="D57" s="93" t="s">
        <v>576</v>
      </c>
      <c r="E57" s="93" t="s">
        <v>59</v>
      </c>
      <c r="F57" s="94">
        <v>33151</v>
      </c>
      <c r="G57" s="95" t="s">
        <v>595</v>
      </c>
      <c r="H57" s="96" t="s">
        <v>100</v>
      </c>
      <c r="I57" s="64" t="s">
        <v>596</v>
      </c>
      <c r="J57" s="102" t="s">
        <v>602</v>
      </c>
      <c r="K57" s="97">
        <v>8433559983</v>
      </c>
      <c r="L57" s="97" t="s">
        <v>597</v>
      </c>
      <c r="M57" s="96" t="s">
        <v>598</v>
      </c>
      <c r="N57" s="98">
        <v>46113</v>
      </c>
      <c r="O57" s="96" t="s">
        <v>599</v>
      </c>
      <c r="P57" s="96" t="s">
        <v>214</v>
      </c>
      <c r="Q57" s="62" t="s">
        <v>223</v>
      </c>
      <c r="R57" s="93" t="s">
        <v>43</v>
      </c>
      <c r="S57" s="93" t="s">
        <v>30</v>
      </c>
      <c r="T57" s="93" t="s">
        <v>30</v>
      </c>
      <c r="U57" s="99">
        <v>25000</v>
      </c>
      <c r="V57" s="100">
        <v>30</v>
      </c>
      <c r="W57" s="100">
        <v>3</v>
      </c>
      <c r="X57" s="100">
        <f t="shared" si="34"/>
        <v>27</v>
      </c>
      <c r="Y57" s="99">
        <f t="shared" si="37"/>
        <v>833.33333333333337</v>
      </c>
      <c r="Z57" s="99">
        <f t="shared" si="38"/>
        <v>22500</v>
      </c>
      <c r="AA57" s="99">
        <v>25000</v>
      </c>
      <c r="AB57" s="99"/>
      <c r="AC57" s="99"/>
      <c r="AD57" s="99">
        <f t="shared" si="39"/>
        <v>25000</v>
      </c>
      <c r="AE57" s="99">
        <f t="shared" si="46"/>
        <v>22500</v>
      </c>
      <c r="AF57" s="99"/>
      <c r="AG57" s="99"/>
      <c r="AH57" s="99">
        <v>350</v>
      </c>
      <c r="AI57" s="67">
        <f t="shared" si="40"/>
        <v>22850</v>
      </c>
      <c r="AJ57" s="99">
        <f t="shared" si="41"/>
        <v>0</v>
      </c>
      <c r="AK57" s="99">
        <f>IF(S57="YES",MIN(AE57*12%,1800),0)</f>
        <v>0</v>
      </c>
      <c r="AL57" s="99">
        <f>IF(T57="YES",AI57*0.75%,0)</f>
        <v>0</v>
      </c>
      <c r="AM57" s="99"/>
      <c r="AN57" s="101">
        <v>0</v>
      </c>
      <c r="AO57" s="67">
        <f>+AI57*2%</f>
        <v>457</v>
      </c>
      <c r="AP57" s="67"/>
      <c r="AQ57" s="67">
        <f t="shared" si="42"/>
        <v>22393</v>
      </c>
      <c r="AR57" s="70" t="s">
        <v>311</v>
      </c>
      <c r="AS57" s="62" t="s">
        <v>214</v>
      </c>
      <c r="AT57" s="62" t="s">
        <v>331</v>
      </c>
      <c r="AU57" s="80" t="s">
        <v>601</v>
      </c>
      <c r="AV57" s="62" t="s">
        <v>585</v>
      </c>
      <c r="AW57" s="68" t="s">
        <v>740</v>
      </c>
      <c r="AX57" s="71">
        <f t="shared" si="47"/>
        <v>0</v>
      </c>
      <c r="AY57" s="71">
        <f t="shared" si="48"/>
        <v>0</v>
      </c>
      <c r="AZ57" s="71">
        <f t="shared" si="49"/>
        <v>0</v>
      </c>
      <c r="BA57" s="71">
        <f t="shared" si="27"/>
        <v>0</v>
      </c>
      <c r="BB57" s="71"/>
      <c r="BC57" s="71">
        <f t="shared" si="50"/>
        <v>0</v>
      </c>
      <c r="BD57" s="71">
        <f t="shared" si="51"/>
        <v>0</v>
      </c>
      <c r="BE57" s="71">
        <f t="shared" si="52"/>
        <v>0</v>
      </c>
      <c r="BF57" s="71">
        <f t="shared" si="31"/>
        <v>0</v>
      </c>
      <c r="BG57" s="71">
        <f t="shared" si="43"/>
        <v>22850</v>
      </c>
      <c r="BH57" s="71"/>
      <c r="BI57" s="71"/>
      <c r="BJ57" s="62"/>
      <c r="BK57" s="72"/>
      <c r="BL57" s="62"/>
      <c r="BM57" s="64"/>
      <c r="BN57" s="66"/>
      <c r="BO57" s="62"/>
    </row>
    <row r="58" spans="1:67" s="74" customFormat="1" ht="16.5" customHeight="1" x14ac:dyDescent="0.3">
      <c r="A58" s="62">
        <v>52</v>
      </c>
      <c r="B58" s="62"/>
      <c r="C58" s="62" t="s">
        <v>577</v>
      </c>
      <c r="D58" s="93" t="s">
        <v>576</v>
      </c>
      <c r="E58" s="93" t="s">
        <v>60</v>
      </c>
      <c r="F58" s="103" t="s">
        <v>583</v>
      </c>
      <c r="G58" s="95" t="s">
        <v>578</v>
      </c>
      <c r="H58" s="95" t="s">
        <v>100</v>
      </c>
      <c r="I58" s="64" t="s">
        <v>579</v>
      </c>
      <c r="J58" s="102" t="s">
        <v>580</v>
      </c>
      <c r="K58" s="97">
        <v>9967789323</v>
      </c>
      <c r="L58" s="97" t="s">
        <v>581</v>
      </c>
      <c r="M58" s="96" t="s">
        <v>582</v>
      </c>
      <c r="N58" s="94">
        <v>46133</v>
      </c>
      <c r="O58" s="64" t="s">
        <v>233</v>
      </c>
      <c r="P58" s="64" t="s">
        <v>214</v>
      </c>
      <c r="Q58" s="62" t="s">
        <v>234</v>
      </c>
      <c r="R58" s="93" t="s">
        <v>42</v>
      </c>
      <c r="S58" s="93" t="s">
        <v>30</v>
      </c>
      <c r="T58" s="93" t="s">
        <v>30</v>
      </c>
      <c r="U58" s="99">
        <v>18000</v>
      </c>
      <c r="V58" s="100">
        <v>30</v>
      </c>
      <c r="W58" s="100">
        <v>20</v>
      </c>
      <c r="X58" s="100">
        <f t="shared" si="34"/>
        <v>10</v>
      </c>
      <c r="Y58" s="99">
        <f t="shared" si="37"/>
        <v>600</v>
      </c>
      <c r="Z58" s="99">
        <f t="shared" si="38"/>
        <v>6000</v>
      </c>
      <c r="AA58" s="99">
        <f>+U58</f>
        <v>18000</v>
      </c>
      <c r="AB58" s="99"/>
      <c r="AC58" s="99"/>
      <c r="AD58" s="99">
        <f t="shared" si="39"/>
        <v>18000</v>
      </c>
      <c r="AE58" s="99">
        <f t="shared" si="46"/>
        <v>6000</v>
      </c>
      <c r="AF58" s="99"/>
      <c r="AG58" s="99"/>
      <c r="AH58" s="99"/>
      <c r="AI58" s="67">
        <f t="shared" si="40"/>
        <v>6000</v>
      </c>
      <c r="AJ58" s="99">
        <f t="shared" si="41"/>
        <v>0</v>
      </c>
      <c r="AK58" s="99"/>
      <c r="AL58" s="99"/>
      <c r="AM58" s="99"/>
      <c r="AN58" s="101"/>
      <c r="AO58" s="67">
        <f>+AI58*2%</f>
        <v>120</v>
      </c>
      <c r="AP58" s="67"/>
      <c r="AQ58" s="67">
        <f t="shared" si="42"/>
        <v>5880</v>
      </c>
      <c r="AR58" s="70" t="s">
        <v>311</v>
      </c>
      <c r="AS58" s="62" t="s">
        <v>214</v>
      </c>
      <c r="AT58" s="62" t="s">
        <v>331</v>
      </c>
      <c r="AU58" s="80" t="s">
        <v>584</v>
      </c>
      <c r="AV58" s="62" t="s">
        <v>585</v>
      </c>
      <c r="AW58" s="68" t="s">
        <v>685</v>
      </c>
      <c r="AX58" s="71">
        <f t="shared" si="47"/>
        <v>0</v>
      </c>
      <c r="AY58" s="71">
        <f t="shared" si="48"/>
        <v>0</v>
      </c>
      <c r="AZ58" s="71">
        <f t="shared" si="49"/>
        <v>0</v>
      </c>
      <c r="BA58" s="71">
        <f t="shared" si="27"/>
        <v>0</v>
      </c>
      <c r="BB58" s="71"/>
      <c r="BC58" s="71">
        <f t="shared" si="50"/>
        <v>0</v>
      </c>
      <c r="BD58" s="71">
        <f t="shared" si="51"/>
        <v>0</v>
      </c>
      <c r="BE58" s="71">
        <f t="shared" si="52"/>
        <v>0</v>
      </c>
      <c r="BF58" s="71">
        <f t="shared" si="31"/>
        <v>0</v>
      </c>
      <c r="BG58" s="71">
        <f t="shared" si="43"/>
        <v>6000</v>
      </c>
      <c r="BH58"/>
      <c r="BI58" s="71"/>
      <c r="BJ58" s="62"/>
      <c r="BK58" s="72"/>
      <c r="BL58" s="62"/>
      <c r="BM58" s="64"/>
      <c r="BN58" s="66"/>
      <c r="BO58" s="62"/>
    </row>
    <row r="59" spans="1:67" s="71" customFormat="1" x14ac:dyDescent="0.3">
      <c r="A59" s="62">
        <v>53</v>
      </c>
      <c r="B59" s="62" t="s">
        <v>615</v>
      </c>
      <c r="C59" s="62" t="s">
        <v>616</v>
      </c>
      <c r="D59" s="62"/>
      <c r="E59" s="62" t="s">
        <v>60</v>
      </c>
      <c r="F59" s="63">
        <v>32094</v>
      </c>
      <c r="G59" s="64" t="s">
        <v>617</v>
      </c>
      <c r="H59" s="44" t="s">
        <v>101</v>
      </c>
      <c r="I59" s="64" t="s">
        <v>618</v>
      </c>
      <c r="J59" s="108" t="s">
        <v>619</v>
      </c>
      <c r="K59" s="64">
        <v>7039010682</v>
      </c>
      <c r="L59" s="88" t="s">
        <v>620</v>
      </c>
      <c r="M59" s="64" t="s">
        <v>621</v>
      </c>
      <c r="N59" s="66">
        <v>45231</v>
      </c>
      <c r="O59" s="64" t="s">
        <v>622</v>
      </c>
      <c r="P59" s="64" t="s">
        <v>623</v>
      </c>
      <c r="Q59" s="62" t="s">
        <v>624</v>
      </c>
      <c r="R59" s="62" t="s">
        <v>42</v>
      </c>
      <c r="S59" s="62" t="s">
        <v>30</v>
      </c>
      <c r="T59" s="62" t="s">
        <v>30</v>
      </c>
      <c r="U59" s="67">
        <v>24660</v>
      </c>
      <c r="V59" s="68">
        <v>30</v>
      </c>
      <c r="W59" s="68">
        <v>0</v>
      </c>
      <c r="X59" s="68">
        <f t="shared" si="34"/>
        <v>30</v>
      </c>
      <c r="Y59" s="67">
        <f t="shared" si="37"/>
        <v>822</v>
      </c>
      <c r="Z59" s="67">
        <f t="shared" si="38"/>
        <v>24660</v>
      </c>
      <c r="AA59" s="67">
        <f>+U59</f>
        <v>24660</v>
      </c>
      <c r="AB59" s="67">
        <v>0</v>
      </c>
      <c r="AC59" s="67">
        <v>0</v>
      </c>
      <c r="AD59" s="67">
        <f t="shared" si="39"/>
        <v>24660</v>
      </c>
      <c r="AE59" s="67">
        <f t="shared" si="46"/>
        <v>24660</v>
      </c>
      <c r="AF59" s="67">
        <f>ROUND(AB59*$X59/$V59,0)</f>
        <v>0</v>
      </c>
      <c r="AG59" s="67">
        <f>ROUND(AC59*$X59/$V59,0)</f>
        <v>0</v>
      </c>
      <c r="AH59" s="67"/>
      <c r="AI59" s="67">
        <f t="shared" si="40"/>
        <v>24660</v>
      </c>
      <c r="AJ59" s="67">
        <f t="shared" si="41"/>
        <v>0</v>
      </c>
      <c r="AK59" s="67">
        <f>IF(S59="YES",MIN(AE59*12%,1800),0)</f>
        <v>0</v>
      </c>
      <c r="AL59" s="67">
        <f>IF(T59="YES",AI59*0.75%,0)</f>
        <v>0</v>
      </c>
      <c r="AM59" s="67"/>
      <c r="AN59" s="69">
        <v>0</v>
      </c>
      <c r="AO59" s="67">
        <f>+AI59*2%</f>
        <v>493.2</v>
      </c>
      <c r="AP59" s="67"/>
      <c r="AQ59" s="67">
        <f t="shared" si="42"/>
        <v>24167</v>
      </c>
      <c r="AR59" s="70" t="s">
        <v>311</v>
      </c>
      <c r="AS59" s="62" t="s">
        <v>214</v>
      </c>
      <c r="AT59" s="62" t="s">
        <v>178</v>
      </c>
      <c r="AU59" s="62" t="s">
        <v>625</v>
      </c>
      <c r="AV59" s="62" t="str">
        <f>VLOOKUP(C59,[3]Sheet1!F$9:H$90,3,FALSE)</f>
        <v>FDRL0001622</v>
      </c>
      <c r="AW59" s="68" t="s">
        <v>688</v>
      </c>
      <c r="AX59" s="71">
        <f t="shared" si="47"/>
        <v>0</v>
      </c>
      <c r="AY59" s="71">
        <f t="shared" si="48"/>
        <v>0</v>
      </c>
      <c r="AZ59" s="71">
        <f t="shared" si="49"/>
        <v>0</v>
      </c>
      <c r="BA59" s="71">
        <f t="shared" si="27"/>
        <v>0</v>
      </c>
      <c r="BC59" s="71">
        <f t="shared" si="50"/>
        <v>0</v>
      </c>
      <c r="BD59" s="71">
        <f t="shared" si="51"/>
        <v>0</v>
      </c>
      <c r="BE59" s="71">
        <f t="shared" si="52"/>
        <v>0</v>
      </c>
      <c r="BF59" s="71">
        <f t="shared" si="31"/>
        <v>0</v>
      </c>
      <c r="BG59" s="71">
        <f t="shared" si="43"/>
        <v>24660</v>
      </c>
      <c r="BJ59" s="62"/>
      <c r="BK59" s="109">
        <f>DATEDIF(N59,$BK$5,"M")</f>
        <v>28</v>
      </c>
      <c r="BL59" s="65" t="s">
        <v>626</v>
      </c>
      <c r="BM59" s="62"/>
      <c r="BN59" s="66">
        <v>45566</v>
      </c>
      <c r="BO59" s="62" t="s">
        <v>291</v>
      </c>
    </row>
    <row r="60" spans="1:67" s="74" customFormat="1" x14ac:dyDescent="0.3">
      <c r="A60" s="62">
        <v>54</v>
      </c>
      <c r="B60" s="62"/>
      <c r="C60" s="62" t="s">
        <v>627</v>
      </c>
      <c r="D60" s="62"/>
      <c r="E60" s="62" t="s">
        <v>59</v>
      </c>
      <c r="F60" s="38">
        <v>37528</v>
      </c>
      <c r="G60" s="44" t="s">
        <v>628</v>
      </c>
      <c r="H60" s="44" t="s">
        <v>100</v>
      </c>
      <c r="I60" s="64" t="s">
        <v>629</v>
      </c>
      <c r="J60" s="39" t="s">
        <v>630</v>
      </c>
      <c r="K60" s="44">
        <v>9555520080</v>
      </c>
      <c r="L60" s="40" t="s">
        <v>631</v>
      </c>
      <c r="M60" s="44" t="s">
        <v>632</v>
      </c>
      <c r="N60" s="41">
        <v>45261</v>
      </c>
      <c r="O60" s="44" t="s">
        <v>233</v>
      </c>
      <c r="P60" s="44" t="s">
        <v>214</v>
      </c>
      <c r="Q60" s="62" t="s">
        <v>624</v>
      </c>
      <c r="R60" s="62" t="s">
        <v>42</v>
      </c>
      <c r="S60" s="62" t="s">
        <v>30</v>
      </c>
      <c r="T60" s="62" t="s">
        <v>30</v>
      </c>
      <c r="U60" s="67">
        <v>38840</v>
      </c>
      <c r="V60" s="68">
        <v>30</v>
      </c>
      <c r="W60" s="68">
        <v>0</v>
      </c>
      <c r="X60" s="68">
        <f t="shared" si="34"/>
        <v>30</v>
      </c>
      <c r="Y60" s="67">
        <f t="shared" si="37"/>
        <v>1294.6666666666667</v>
      </c>
      <c r="Z60" s="67">
        <f t="shared" si="38"/>
        <v>38840</v>
      </c>
      <c r="AA60" s="67">
        <v>15000</v>
      </c>
      <c r="AB60" s="67">
        <v>0</v>
      </c>
      <c r="AC60" s="67">
        <f>U60-AA60-AB60</f>
        <v>23840</v>
      </c>
      <c r="AD60" s="67">
        <f t="shared" si="39"/>
        <v>38840</v>
      </c>
      <c r="AE60" s="67">
        <f t="shared" si="46"/>
        <v>15000</v>
      </c>
      <c r="AF60" s="67">
        <f>ROUND(AB60*$X60/$V60,0)</f>
        <v>0</v>
      </c>
      <c r="AG60" s="67">
        <f>ROUND(AC60*$X60/$V60,0)</f>
        <v>23840</v>
      </c>
      <c r="AH60" s="67"/>
      <c r="AI60" s="67">
        <f t="shared" si="40"/>
        <v>38840</v>
      </c>
      <c r="AJ60" s="67">
        <f t="shared" si="41"/>
        <v>0</v>
      </c>
      <c r="AK60" s="67">
        <f>IF(S60="YES",MIN(AE60*12%,1800),0)</f>
        <v>0</v>
      </c>
      <c r="AL60" s="67">
        <f>IF(T60="YES",AI60*0.75%,0)</f>
        <v>0</v>
      </c>
      <c r="AM60" s="67"/>
      <c r="AN60" s="69">
        <v>0</v>
      </c>
      <c r="AO60" s="67">
        <f>+AI60*2%</f>
        <v>776.80000000000007</v>
      </c>
      <c r="AP60" s="67"/>
      <c r="AQ60" s="67">
        <f t="shared" si="42"/>
        <v>38063</v>
      </c>
      <c r="AR60" s="70" t="s">
        <v>311</v>
      </c>
      <c r="AS60" s="62" t="s">
        <v>214</v>
      </c>
      <c r="AT60" s="62" t="s">
        <v>331</v>
      </c>
      <c r="AU60" s="110" t="s">
        <v>633</v>
      </c>
      <c r="AV60" s="62" t="s">
        <v>634</v>
      </c>
      <c r="AW60" s="68" t="s">
        <v>687</v>
      </c>
      <c r="AX60" s="71">
        <f t="shared" si="47"/>
        <v>0</v>
      </c>
      <c r="AY60" s="71">
        <f t="shared" si="48"/>
        <v>0</v>
      </c>
      <c r="AZ60" s="71">
        <f t="shared" si="49"/>
        <v>0</v>
      </c>
      <c r="BA60" s="71">
        <f t="shared" si="27"/>
        <v>0</v>
      </c>
      <c r="BB60" s="71"/>
      <c r="BC60" s="71">
        <f t="shared" si="50"/>
        <v>0</v>
      </c>
      <c r="BD60" s="71">
        <f t="shared" si="51"/>
        <v>0</v>
      </c>
      <c r="BE60" s="71">
        <f t="shared" si="52"/>
        <v>0</v>
      </c>
      <c r="BF60" s="71">
        <f t="shared" si="31"/>
        <v>0</v>
      </c>
      <c r="BG60" s="71">
        <f t="shared" si="43"/>
        <v>38840</v>
      </c>
      <c r="BH60" s="71"/>
      <c r="BI60" s="71"/>
      <c r="BJ60" s="62"/>
      <c r="BK60" s="109">
        <f>DATEDIF(N60,$BK$5,"M")</f>
        <v>27</v>
      </c>
      <c r="BL60" s="65" t="s">
        <v>635</v>
      </c>
      <c r="BM60" s="62"/>
      <c r="BN60" s="66">
        <v>45566</v>
      </c>
      <c r="BO60" s="62" t="s">
        <v>290</v>
      </c>
    </row>
    <row r="61" spans="1:67" s="71" customFormat="1" ht="16.5" customHeight="1" x14ac:dyDescent="0.3">
      <c r="A61" s="62">
        <v>55</v>
      </c>
      <c r="B61" s="62"/>
      <c r="C61" s="64" t="s">
        <v>636</v>
      </c>
      <c r="D61" s="62" t="s">
        <v>637</v>
      </c>
      <c r="E61" s="64" t="s">
        <v>60</v>
      </c>
      <c r="F61" s="111">
        <v>32582</v>
      </c>
      <c r="G61" s="112" t="s">
        <v>638</v>
      </c>
      <c r="H61" s="112" t="s">
        <v>101</v>
      </c>
      <c r="I61" s="64" t="s">
        <v>639</v>
      </c>
      <c r="J61" s="113" t="s">
        <v>640</v>
      </c>
      <c r="K61" s="112">
        <v>7977532829</v>
      </c>
      <c r="L61" s="114" t="s">
        <v>641</v>
      </c>
      <c r="M61" s="112" t="s">
        <v>642</v>
      </c>
      <c r="N61" s="115">
        <v>45999</v>
      </c>
      <c r="O61" s="112" t="s">
        <v>233</v>
      </c>
      <c r="P61" s="112" t="s">
        <v>214</v>
      </c>
      <c r="Q61" s="62" t="s">
        <v>624</v>
      </c>
      <c r="R61" s="62" t="s">
        <v>42</v>
      </c>
      <c r="S61" s="62" t="s">
        <v>30</v>
      </c>
      <c r="T61" s="62" t="s">
        <v>30</v>
      </c>
      <c r="U61" s="67">
        <v>10000</v>
      </c>
      <c r="V61" s="68">
        <v>30</v>
      </c>
      <c r="W61" s="68">
        <v>0</v>
      </c>
      <c r="X61" s="68">
        <f t="shared" si="34"/>
        <v>30</v>
      </c>
      <c r="Y61" s="67">
        <f t="shared" si="37"/>
        <v>333.33333333333331</v>
      </c>
      <c r="Z61" s="67">
        <f t="shared" si="38"/>
        <v>10000</v>
      </c>
      <c r="AA61" s="67">
        <v>15000</v>
      </c>
      <c r="AB61" s="67"/>
      <c r="AC61" s="67">
        <f>U61-AA61-AB61</f>
        <v>-5000</v>
      </c>
      <c r="AD61" s="67">
        <f t="shared" si="39"/>
        <v>10000</v>
      </c>
      <c r="AE61" s="67">
        <f t="shared" si="46"/>
        <v>15000</v>
      </c>
      <c r="AF61" s="67"/>
      <c r="AG61" s="67">
        <f>ROUND(AC61*$X61/$V61,0)</f>
        <v>-5000</v>
      </c>
      <c r="AH61" s="67"/>
      <c r="AI61" s="67">
        <f t="shared" si="40"/>
        <v>10000</v>
      </c>
      <c r="AJ61" s="67">
        <f t="shared" si="41"/>
        <v>0</v>
      </c>
      <c r="AK61" s="67"/>
      <c r="AL61" s="67"/>
      <c r="AM61" s="67"/>
      <c r="AN61" s="69">
        <v>0</v>
      </c>
      <c r="AO61" s="67">
        <f>+AI61*2%</f>
        <v>200</v>
      </c>
      <c r="AP61" s="67"/>
      <c r="AQ61" s="67">
        <f t="shared" si="42"/>
        <v>9800</v>
      </c>
      <c r="AR61" s="70" t="s">
        <v>311</v>
      </c>
      <c r="AS61" s="62" t="s">
        <v>214</v>
      </c>
      <c r="AT61" s="62" t="s">
        <v>643</v>
      </c>
      <c r="AU61" s="76" t="s">
        <v>644</v>
      </c>
      <c r="AV61" s="62" t="s">
        <v>645</v>
      </c>
      <c r="AW61" s="68" t="s">
        <v>686</v>
      </c>
      <c r="AX61" s="71">
        <f t="shared" si="47"/>
        <v>0</v>
      </c>
      <c r="AY61" s="71">
        <f t="shared" si="48"/>
        <v>0</v>
      </c>
      <c r="AZ61" s="71">
        <f t="shared" si="49"/>
        <v>0</v>
      </c>
      <c r="BA61" s="71">
        <f t="shared" si="27"/>
        <v>0</v>
      </c>
      <c r="BC61" s="71">
        <f t="shared" si="50"/>
        <v>0</v>
      </c>
      <c r="BD61" s="71">
        <f t="shared" si="51"/>
        <v>0</v>
      </c>
      <c r="BE61" s="71">
        <f t="shared" si="52"/>
        <v>0</v>
      </c>
      <c r="BF61" s="71">
        <f t="shared" si="31"/>
        <v>0</v>
      </c>
      <c r="BG61" s="71">
        <f t="shared" si="43"/>
        <v>10000</v>
      </c>
      <c r="BJ61" s="62"/>
      <c r="BK61" s="72"/>
      <c r="BL61" s="64"/>
      <c r="BM61" s="62"/>
      <c r="BN61" s="63"/>
      <c r="BO61" s="62"/>
    </row>
    <row r="62" spans="1:67" s="74" customFormat="1" ht="16.5" customHeight="1" x14ac:dyDescent="0.3">
      <c r="A62" s="62">
        <v>56</v>
      </c>
      <c r="B62" s="62" t="s">
        <v>646</v>
      </c>
      <c r="C62" s="62" t="s">
        <v>647</v>
      </c>
      <c r="D62" s="62"/>
      <c r="E62" s="62" t="s">
        <v>59</v>
      </c>
      <c r="F62" s="63">
        <v>29420</v>
      </c>
      <c r="G62" s="64" t="s">
        <v>648</v>
      </c>
      <c r="H62" s="64" t="s">
        <v>459</v>
      </c>
      <c r="I62" s="64" t="s">
        <v>649</v>
      </c>
      <c r="J62" s="91" t="s">
        <v>650</v>
      </c>
      <c r="K62" s="64">
        <v>9724119900</v>
      </c>
      <c r="L62" s="64" t="s">
        <v>651</v>
      </c>
      <c r="M62" s="64" t="s">
        <v>652</v>
      </c>
      <c r="N62" s="66">
        <v>45188</v>
      </c>
      <c r="O62" s="64" t="s">
        <v>653</v>
      </c>
      <c r="P62" s="64" t="s">
        <v>214</v>
      </c>
      <c r="Q62" s="62" t="s">
        <v>654</v>
      </c>
      <c r="R62" s="62" t="s">
        <v>655</v>
      </c>
      <c r="S62" s="62" t="s">
        <v>30</v>
      </c>
      <c r="T62" s="62" t="s">
        <v>30</v>
      </c>
      <c r="U62" s="67">
        <v>142000</v>
      </c>
      <c r="V62" s="68">
        <v>30</v>
      </c>
      <c r="W62" s="68">
        <v>0</v>
      </c>
      <c r="X62" s="72">
        <f t="shared" ref="X62:X64" si="53">+V62-W62</f>
        <v>30</v>
      </c>
      <c r="Y62" s="78">
        <f t="shared" ref="Y62:Y64" si="54">U62/V62</f>
        <v>4733.333333333333</v>
      </c>
      <c r="Z62" s="67">
        <f t="shared" ref="Z62:Z64" si="55">X62*Y62</f>
        <v>142000</v>
      </c>
      <c r="AA62" s="67">
        <f>+U62</f>
        <v>142000</v>
      </c>
      <c r="AB62" s="67">
        <v>0</v>
      </c>
      <c r="AC62" s="67">
        <v>0</v>
      </c>
      <c r="AD62" s="67">
        <f t="shared" ref="AD62" si="56">SUM(AA62:AC62)</f>
        <v>142000</v>
      </c>
      <c r="AE62" s="67">
        <f t="shared" ref="AE62:AE64" si="57">ROUND(AA62*$X62/$V62,0)</f>
        <v>142000</v>
      </c>
      <c r="AF62" s="67">
        <f>ROUND(AB62*$X62/$V62,0)</f>
        <v>0</v>
      </c>
      <c r="AG62" s="67">
        <f>ROUND(AC62*$X62/$V62,0)</f>
        <v>0</v>
      </c>
      <c r="AH62" s="67"/>
      <c r="AI62" s="67">
        <f t="shared" ref="AI62" si="58">SUM(AE62:AH62)</f>
        <v>142000</v>
      </c>
      <c r="AJ62" s="67">
        <f t="shared" ref="AJ62:AJ64" si="59">Z62-AI62+AH62</f>
        <v>0</v>
      </c>
      <c r="AK62" s="67">
        <f>IF(S62="YES",MIN(AE62*12%,1800),0)</f>
        <v>0</v>
      </c>
      <c r="AL62" s="67">
        <f>IF(T62="YES",AI62*0.75%,0)</f>
        <v>0</v>
      </c>
      <c r="AM62" s="67"/>
      <c r="AN62" s="117"/>
      <c r="AO62" s="67">
        <f t="shared" ref="AO62:AO64" si="60">+AI62*2%</f>
        <v>2840</v>
      </c>
      <c r="AP62" s="67"/>
      <c r="AQ62" s="67">
        <f t="shared" ref="AQ62:AQ64" si="61">ROUND(AI62-SUM(AK62:AP62),0)</f>
        <v>139160</v>
      </c>
      <c r="AR62" s="62" t="s">
        <v>311</v>
      </c>
      <c r="AS62" s="62" t="s">
        <v>214</v>
      </c>
      <c r="AT62" s="62" t="s">
        <v>656</v>
      </c>
      <c r="AU62" s="76" t="s">
        <v>657</v>
      </c>
      <c r="AV62" s="62" t="s">
        <v>658</v>
      </c>
      <c r="AW62" s="68" t="s">
        <v>689</v>
      </c>
      <c r="AX62" s="71">
        <f t="shared" ref="AX62:AX64" si="62">IF(S62="Yes",AE62,0)</f>
        <v>0</v>
      </c>
      <c r="AY62" s="71">
        <f t="shared" ref="AY62:AY64" si="63">ROUND(AX62*12%,0)</f>
        <v>0</v>
      </c>
      <c r="AZ62" s="71">
        <f t="shared" ref="AZ62:AZ64" si="64">AY62-BA62</f>
        <v>0</v>
      </c>
      <c r="BA62" s="71">
        <f t="shared" ref="BA62:BA64" si="65">ROUND(AX62*8.33%,0)</f>
        <v>0</v>
      </c>
      <c r="BB62" s="71"/>
      <c r="BC62" s="71">
        <f t="shared" ref="BC62:BC64" si="66">IF(T62="Yes",AI62,0)</f>
        <v>0</v>
      </c>
      <c r="BD62" s="71">
        <f t="shared" ref="BD62:BD64" si="67">ROUNDUP(BC62*0.75%,0)</f>
        <v>0</v>
      </c>
      <c r="BE62" s="71">
        <f t="shared" ref="BE62:BE64" si="68">ROUND(BC62*3.25%,0)</f>
        <v>0</v>
      </c>
      <c r="BF62" s="71">
        <f t="shared" ref="BF62:BF64" si="69">BD62+BE62</f>
        <v>0</v>
      </c>
      <c r="BG62" s="71">
        <f t="shared" ref="BG62:BG64" si="70">+BE62+AY62+AI62</f>
        <v>142000</v>
      </c>
      <c r="BH62" s="71"/>
      <c r="BI62" s="71"/>
      <c r="BJ62" s="62"/>
      <c r="BK62" s="72"/>
      <c r="BL62" s="62"/>
      <c r="BM62" s="79"/>
      <c r="BN62" s="68"/>
      <c r="BO62" s="71"/>
    </row>
    <row r="63" spans="1:67" s="74" customFormat="1" ht="16.5" customHeight="1" x14ac:dyDescent="0.3">
      <c r="A63" s="62">
        <v>57</v>
      </c>
      <c r="B63" s="62"/>
      <c r="C63" s="62" t="s">
        <v>659</v>
      </c>
      <c r="D63" s="62" t="s">
        <v>576</v>
      </c>
      <c r="E63" s="62" t="s">
        <v>60</v>
      </c>
      <c r="F63" s="63">
        <v>32339</v>
      </c>
      <c r="G63" s="64" t="s">
        <v>660</v>
      </c>
      <c r="H63" s="64" t="s">
        <v>459</v>
      </c>
      <c r="I63" s="64" t="s">
        <v>661</v>
      </c>
      <c r="J63" s="91" t="s">
        <v>662</v>
      </c>
      <c r="K63" s="64">
        <v>9372394229</v>
      </c>
      <c r="L63" s="64" t="s">
        <v>663</v>
      </c>
      <c r="M63" s="64" t="s">
        <v>664</v>
      </c>
      <c r="N63" s="66">
        <v>46113</v>
      </c>
      <c r="O63" s="64" t="s">
        <v>665</v>
      </c>
      <c r="P63" s="64" t="s">
        <v>666</v>
      </c>
      <c r="Q63" s="62" t="s">
        <v>667</v>
      </c>
      <c r="R63" s="62" t="s">
        <v>668</v>
      </c>
      <c r="S63" s="62" t="s">
        <v>30</v>
      </c>
      <c r="T63" s="62" t="s">
        <v>30</v>
      </c>
      <c r="U63" s="67">
        <v>45000</v>
      </c>
      <c r="V63" s="68">
        <v>30</v>
      </c>
      <c r="W63" s="68">
        <v>15</v>
      </c>
      <c r="X63" s="72">
        <f t="shared" si="53"/>
        <v>15</v>
      </c>
      <c r="Y63" s="78">
        <f t="shared" si="54"/>
        <v>1500</v>
      </c>
      <c r="Z63" s="67">
        <f t="shared" si="55"/>
        <v>22500</v>
      </c>
      <c r="AA63" s="67">
        <f>+U63</f>
        <v>45000</v>
      </c>
      <c r="AB63" s="67">
        <v>0</v>
      </c>
      <c r="AC63" s="67">
        <v>0</v>
      </c>
      <c r="AD63" s="67">
        <f t="shared" ref="AD63" si="71">SUM(AA63:AC63)</f>
        <v>45000</v>
      </c>
      <c r="AE63" s="67">
        <f t="shared" si="57"/>
        <v>22500</v>
      </c>
      <c r="AF63" s="67">
        <f>ROUND(AB63*$X63/$V63,0)</f>
        <v>0</v>
      </c>
      <c r="AG63" s="67">
        <f>ROUND(AC63*$X63/$V63,0)</f>
        <v>0</v>
      </c>
      <c r="AH63" s="67"/>
      <c r="AI63" s="67">
        <f t="shared" ref="AI63" si="72">SUM(AE63:AH63)</f>
        <v>22500</v>
      </c>
      <c r="AJ63" s="67">
        <f t="shared" si="59"/>
        <v>0</v>
      </c>
      <c r="AK63" s="67">
        <f>IF(S63="YES",MIN(AE63*12%,1800),0)</f>
        <v>0</v>
      </c>
      <c r="AL63" s="67">
        <f>IF(T63="YES",AI63*0.75%,0)</f>
        <v>0</v>
      </c>
      <c r="AM63" s="67"/>
      <c r="AN63" s="117"/>
      <c r="AO63" s="67">
        <f t="shared" si="60"/>
        <v>450</v>
      </c>
      <c r="AP63" s="67"/>
      <c r="AQ63" s="67">
        <f t="shared" si="61"/>
        <v>22050</v>
      </c>
      <c r="AR63" s="62" t="s">
        <v>311</v>
      </c>
      <c r="AS63" s="62" t="s">
        <v>214</v>
      </c>
      <c r="AT63" s="62" t="s">
        <v>643</v>
      </c>
      <c r="AU63" s="76" t="s">
        <v>669</v>
      </c>
      <c r="AV63" s="62" t="s">
        <v>670</v>
      </c>
      <c r="AW63" s="68" t="s">
        <v>690</v>
      </c>
      <c r="AX63" s="71">
        <f t="shared" si="62"/>
        <v>0</v>
      </c>
      <c r="AY63" s="71">
        <f t="shared" si="63"/>
        <v>0</v>
      </c>
      <c r="AZ63" s="71">
        <f t="shared" si="64"/>
        <v>0</v>
      </c>
      <c r="BA63" s="71">
        <f t="shared" si="65"/>
        <v>0</v>
      </c>
      <c r="BB63" s="71"/>
      <c r="BC63" s="71">
        <f t="shared" si="66"/>
        <v>0</v>
      </c>
      <c r="BD63" s="71">
        <f t="shared" si="67"/>
        <v>0</v>
      </c>
      <c r="BE63" s="71">
        <f t="shared" si="68"/>
        <v>0</v>
      </c>
      <c r="BF63" s="71">
        <f t="shared" si="69"/>
        <v>0</v>
      </c>
      <c r="BG63" s="71">
        <f t="shared" si="70"/>
        <v>22500</v>
      </c>
      <c r="BH63" s="71"/>
      <c r="BI63" s="71"/>
      <c r="BJ63" s="62"/>
      <c r="BK63" s="72"/>
      <c r="BL63" s="62"/>
      <c r="BM63" s="79"/>
      <c r="BN63" s="68"/>
      <c r="BO63" s="71"/>
    </row>
    <row r="64" spans="1:67" s="74" customFormat="1" ht="16.5" customHeight="1" x14ac:dyDescent="0.3">
      <c r="A64" s="62">
        <v>58</v>
      </c>
      <c r="B64" s="62"/>
      <c r="C64" s="62" t="s">
        <v>671</v>
      </c>
      <c r="D64" s="62" t="s">
        <v>576</v>
      </c>
      <c r="E64" s="62" t="s">
        <v>672</v>
      </c>
      <c r="F64" s="63">
        <v>36712</v>
      </c>
      <c r="G64" s="64" t="s">
        <v>673</v>
      </c>
      <c r="H64" s="64" t="s">
        <v>674</v>
      </c>
      <c r="I64" s="64" t="s">
        <v>675</v>
      </c>
      <c r="J64" s="91" t="s">
        <v>676</v>
      </c>
      <c r="K64" s="64" t="s">
        <v>677</v>
      </c>
      <c r="L64" s="64" t="s">
        <v>678</v>
      </c>
      <c r="M64" s="64" t="s">
        <v>679</v>
      </c>
      <c r="N64" s="66">
        <v>46143</v>
      </c>
      <c r="O64" s="64" t="s">
        <v>214</v>
      </c>
      <c r="P64" s="64" t="s">
        <v>680</v>
      </c>
      <c r="Q64" s="62" t="s">
        <v>667</v>
      </c>
      <c r="R64" s="62" t="s">
        <v>668</v>
      </c>
      <c r="S64" s="62" t="s">
        <v>30</v>
      </c>
      <c r="T64" s="62" t="s">
        <v>30</v>
      </c>
      <c r="U64" s="67">
        <v>50000</v>
      </c>
      <c r="V64" s="68">
        <v>30</v>
      </c>
      <c r="W64" s="68">
        <v>0</v>
      </c>
      <c r="X64" s="72">
        <f t="shared" si="53"/>
        <v>30</v>
      </c>
      <c r="Y64" s="78">
        <f t="shared" si="54"/>
        <v>1666.6666666666667</v>
      </c>
      <c r="Z64" s="67">
        <f t="shared" si="55"/>
        <v>50000</v>
      </c>
      <c r="AA64" s="67">
        <f>+U64</f>
        <v>50000</v>
      </c>
      <c r="AB64" s="67">
        <v>0</v>
      </c>
      <c r="AC64" s="67">
        <v>0</v>
      </c>
      <c r="AD64" s="67">
        <f t="shared" ref="AD64" si="73">SUM(AA64:AC64)</f>
        <v>50000</v>
      </c>
      <c r="AE64" s="67">
        <f t="shared" si="57"/>
        <v>50000</v>
      </c>
      <c r="AF64" s="67">
        <f>ROUND(AB64*$X64/$V64,0)</f>
        <v>0</v>
      </c>
      <c r="AG64" s="67">
        <f>ROUND(AC64*$X64/$V64,0)</f>
        <v>0</v>
      </c>
      <c r="AH64" s="67"/>
      <c r="AI64" s="67">
        <f t="shared" ref="AI64" si="74">SUM(AE64:AH64)</f>
        <v>50000</v>
      </c>
      <c r="AJ64" s="67">
        <f t="shared" si="59"/>
        <v>0</v>
      </c>
      <c r="AK64" s="67">
        <f>IF(S64="YES",MIN(AE64*12%,1800),0)</f>
        <v>0</v>
      </c>
      <c r="AL64" s="67">
        <f>IF(T64="YES",AI64*0.75%,0)</f>
        <v>0</v>
      </c>
      <c r="AM64" s="67"/>
      <c r="AN64" s="117"/>
      <c r="AO64" s="67">
        <f t="shared" si="60"/>
        <v>1000</v>
      </c>
      <c r="AP64" s="67"/>
      <c r="AQ64" s="67">
        <f t="shared" si="61"/>
        <v>49000</v>
      </c>
      <c r="AR64" s="62" t="s">
        <v>311</v>
      </c>
      <c r="AS64" s="62" t="s">
        <v>214</v>
      </c>
      <c r="AT64" s="62" t="s">
        <v>216</v>
      </c>
      <c r="AU64" s="76" t="s">
        <v>681</v>
      </c>
      <c r="AV64" s="62" t="s">
        <v>682</v>
      </c>
      <c r="AW64" s="68" t="s">
        <v>691</v>
      </c>
      <c r="AX64" s="71">
        <f t="shared" si="62"/>
        <v>0</v>
      </c>
      <c r="AY64" s="71">
        <f t="shared" si="63"/>
        <v>0</v>
      </c>
      <c r="AZ64" s="71">
        <f t="shared" si="64"/>
        <v>0</v>
      </c>
      <c r="BA64" s="71">
        <f t="shared" si="65"/>
        <v>0</v>
      </c>
      <c r="BB64" s="71"/>
      <c r="BC64" s="71">
        <f t="shared" si="66"/>
        <v>0</v>
      </c>
      <c r="BD64" s="71">
        <f t="shared" si="67"/>
        <v>0</v>
      </c>
      <c r="BE64" s="71">
        <f t="shared" si="68"/>
        <v>0</v>
      </c>
      <c r="BF64" s="71">
        <f t="shared" si="69"/>
        <v>0</v>
      </c>
      <c r="BG64" s="71">
        <f t="shared" si="70"/>
        <v>50000</v>
      </c>
      <c r="BH64" s="71"/>
      <c r="BI64" s="71"/>
      <c r="BJ64" s="62"/>
      <c r="BK64" s="72"/>
      <c r="BL64" s="62"/>
      <c r="BM64" s="79"/>
      <c r="BN64" s="68"/>
      <c r="BO64" s="71"/>
    </row>
    <row r="65" spans="1:67" x14ac:dyDescent="0.3">
      <c r="A65" s="48"/>
      <c r="B65" s="48"/>
      <c r="C65" s="48"/>
      <c r="D65" s="48"/>
      <c r="E65" s="44"/>
      <c r="F65" s="38"/>
      <c r="G65" s="44"/>
      <c r="H65" s="44"/>
      <c r="I65" s="44"/>
      <c r="J65" s="56"/>
      <c r="K65" s="44"/>
      <c r="L65" s="42"/>
      <c r="M65" s="44"/>
      <c r="N65" s="41"/>
      <c r="O65" s="44"/>
      <c r="P65" s="44"/>
      <c r="Q65" s="48"/>
      <c r="R65" s="48"/>
      <c r="S65" s="48"/>
      <c r="T65" s="48"/>
      <c r="U65" s="51"/>
      <c r="V65" s="52"/>
      <c r="W65" s="52"/>
      <c r="X65" s="52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3"/>
      <c r="AO65" s="51"/>
      <c r="AP65" s="51"/>
      <c r="AQ65" s="51"/>
      <c r="AR65" s="54"/>
      <c r="AS65" s="48"/>
      <c r="AT65" s="48"/>
      <c r="AU65" s="42"/>
      <c r="AV65" s="48"/>
      <c r="AW65" s="52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48"/>
      <c r="BK65" s="57"/>
      <c r="BL65" s="48"/>
      <c r="BM65" s="48"/>
      <c r="BN65" s="41"/>
      <c r="BO65" s="48"/>
    </row>
    <row r="66" spans="1:67" ht="15.6" x14ac:dyDescent="0.3">
      <c r="A66" s="7"/>
      <c r="B66" s="9"/>
      <c r="C66" s="6"/>
      <c r="D66" s="9"/>
      <c r="E66" s="9"/>
      <c r="F66" s="17"/>
      <c r="G66" s="8"/>
      <c r="H66" s="8"/>
      <c r="I66" s="8"/>
      <c r="J66" s="8"/>
      <c r="K66" s="8"/>
      <c r="L66" s="8"/>
      <c r="M66" s="8"/>
      <c r="N66" s="8"/>
      <c r="O66" s="8"/>
      <c r="P66" s="8"/>
      <c r="Q66" s="9"/>
      <c r="R66" s="9"/>
      <c r="S66" s="9"/>
      <c r="T66" s="9" t="s">
        <v>58</v>
      </c>
      <c r="U66" s="10">
        <f>SUBTOTAL(9,U8:U65)</f>
        <v>1142250</v>
      </c>
      <c r="V66" s="10"/>
      <c r="W66" s="10"/>
      <c r="X66" s="10"/>
      <c r="Y66" s="10">
        <f t="shared" ref="Y66:AQ66" si="75">SUBTOTAL(9,Y8:Y65)</f>
        <v>38075</v>
      </c>
      <c r="Z66" s="10">
        <f t="shared" si="75"/>
        <v>1068675</v>
      </c>
      <c r="AA66" s="10">
        <f t="shared" si="75"/>
        <v>830410</v>
      </c>
      <c r="AB66" s="10">
        <f t="shared" si="75"/>
        <v>47500</v>
      </c>
      <c r="AC66" s="10">
        <f t="shared" si="75"/>
        <v>264340</v>
      </c>
      <c r="AD66" s="10">
        <f t="shared" si="75"/>
        <v>1142250</v>
      </c>
      <c r="AE66" s="10">
        <f t="shared" si="75"/>
        <v>769335</v>
      </c>
      <c r="AF66" s="10">
        <f t="shared" si="75"/>
        <v>43750</v>
      </c>
      <c r="AG66" s="10">
        <f t="shared" si="75"/>
        <v>255590</v>
      </c>
      <c r="AH66" s="10">
        <f t="shared" si="75"/>
        <v>550</v>
      </c>
      <c r="AI66" s="10">
        <f t="shared" si="75"/>
        <v>1069225</v>
      </c>
      <c r="AJ66" s="10">
        <f t="shared" si="75"/>
        <v>3.637978807091713E-12</v>
      </c>
      <c r="AK66" s="10">
        <f t="shared" si="75"/>
        <v>0</v>
      </c>
      <c r="AL66" s="10">
        <f t="shared" si="75"/>
        <v>0</v>
      </c>
      <c r="AM66" s="10">
        <f t="shared" si="75"/>
        <v>0</v>
      </c>
      <c r="AN66" s="10">
        <f t="shared" si="75"/>
        <v>0</v>
      </c>
      <c r="AO66" s="10">
        <f t="shared" si="75"/>
        <v>21384.5</v>
      </c>
      <c r="AP66" s="10">
        <f t="shared" si="75"/>
        <v>0</v>
      </c>
      <c r="AQ66" s="10">
        <f t="shared" si="75"/>
        <v>1047841</v>
      </c>
      <c r="AR66" s="10"/>
      <c r="AS66" s="10"/>
      <c r="AT66" s="10"/>
      <c r="AU66" s="10"/>
      <c r="AV66" s="10"/>
      <c r="AW66" s="37"/>
      <c r="AX66" s="10">
        <f t="shared" ref="AX66:BG66" si="76">SUBTOTAL(9,AX8:AX65)</f>
        <v>0</v>
      </c>
      <c r="AY66" s="10">
        <f t="shared" si="76"/>
        <v>0</v>
      </c>
      <c r="AZ66" s="10">
        <f t="shared" si="76"/>
        <v>0</v>
      </c>
      <c r="BA66" s="10">
        <f t="shared" si="76"/>
        <v>0</v>
      </c>
      <c r="BB66" s="10">
        <f t="shared" si="76"/>
        <v>0</v>
      </c>
      <c r="BC66" s="10">
        <f t="shared" si="76"/>
        <v>0</v>
      </c>
      <c r="BD66" s="10">
        <f t="shared" si="76"/>
        <v>0</v>
      </c>
      <c r="BE66" s="10">
        <f t="shared" si="76"/>
        <v>0</v>
      </c>
      <c r="BF66" s="10">
        <f t="shared" si="76"/>
        <v>0</v>
      </c>
      <c r="BG66" s="10">
        <f t="shared" si="76"/>
        <v>1069225</v>
      </c>
      <c r="BH66" s="10">
        <f>SUBTOTAL(9,BH8:BH48)</f>
        <v>0</v>
      </c>
      <c r="BI66" s="10"/>
      <c r="BJ66" s="10">
        <f>SUBTOTAL(9,BJ8:BJ44)</f>
        <v>0</v>
      </c>
      <c r="BK66" s="37"/>
      <c r="BL66" s="50"/>
      <c r="BM66" s="10">
        <f>SUBTOTAL(9,BM8:BM44)</f>
        <v>0</v>
      </c>
      <c r="BN66" s="37"/>
      <c r="BO66" s="10">
        <f>SUBTOTAL(9,BO8:BO44)</f>
        <v>0</v>
      </c>
    </row>
    <row r="67" spans="1:67" ht="15.6" x14ac:dyDescent="0.3">
      <c r="C67" s="1"/>
      <c r="Q67" s="29"/>
      <c r="Y67" s="25"/>
      <c r="Z67" s="25"/>
      <c r="AK67" s="25"/>
      <c r="AM67" s="3"/>
      <c r="AP67" s="3"/>
      <c r="AQ67" s="20"/>
      <c r="AY67" s="26"/>
      <c r="BL67" s="49"/>
    </row>
    <row r="68" spans="1:67" x14ac:dyDescent="0.3">
      <c r="C68" s="2"/>
      <c r="U68" s="15"/>
      <c r="Y68" s="3"/>
      <c r="AD68" s="15">
        <f>SUM(AA68:AC68)</f>
        <v>0</v>
      </c>
      <c r="AJ68" s="4"/>
      <c r="AK68" s="4"/>
      <c r="AM68" s="3"/>
      <c r="AN68" s="4"/>
      <c r="AQ68" s="20">
        <v>684016</v>
      </c>
      <c r="AR68" s="29"/>
      <c r="AY68" s="26"/>
    </row>
    <row r="69" spans="1:67" x14ac:dyDescent="0.3">
      <c r="V69" s="83"/>
      <c r="W69" s="83"/>
      <c r="X69" s="83"/>
      <c r="Y69" s="16"/>
      <c r="Z69" s="19"/>
      <c r="AA69" s="4"/>
      <c r="AI69" s="4"/>
      <c r="AQ69" s="20">
        <v>238541</v>
      </c>
      <c r="AR69" s="55"/>
      <c r="AT69" s="21"/>
      <c r="AX69" s="27" t="s">
        <v>68</v>
      </c>
      <c r="AY69" s="31">
        <f>AY66+AZ66</f>
        <v>0</v>
      </c>
    </row>
    <row r="70" spans="1:67" x14ac:dyDescent="0.3">
      <c r="F70" s="83"/>
      <c r="Z70" s="29"/>
      <c r="AJ70" s="18"/>
      <c r="AQ70" s="20">
        <v>180500</v>
      </c>
      <c r="AR70" s="55"/>
      <c r="AX70" s="27" t="s">
        <v>69</v>
      </c>
      <c r="AY70" s="27">
        <v>500</v>
      </c>
    </row>
    <row r="71" spans="1:67" x14ac:dyDescent="0.3">
      <c r="Z71" s="29"/>
      <c r="AQ71" s="20">
        <v>515801</v>
      </c>
      <c r="AR71" s="55">
        <f>SUM(AQ68:AQ71)</f>
        <v>1618858</v>
      </c>
      <c r="AS71" s="55"/>
      <c r="AX71" s="27" t="s">
        <v>62</v>
      </c>
      <c r="AY71" s="32">
        <f>+BA66</f>
        <v>0</v>
      </c>
    </row>
    <row r="72" spans="1:67" s="3" customFormat="1" ht="15.6" x14ac:dyDescent="0.3">
      <c r="C72" s="107" t="s">
        <v>609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V72" s="83"/>
      <c r="W72" s="83"/>
      <c r="X72" s="83"/>
      <c r="AE72" s="22"/>
      <c r="AF72" s="22"/>
      <c r="AG72" s="22"/>
      <c r="AQ72" s="20"/>
      <c r="AR72" s="28"/>
      <c r="AS72" s="16"/>
      <c r="AT72" s="16"/>
      <c r="AU72" s="22"/>
      <c r="AV72" s="16"/>
      <c r="AW72" s="83"/>
      <c r="AX72" s="33" t="s">
        <v>63</v>
      </c>
      <c r="AY72" s="34">
        <f>ROUND(AX66*0.5%,0)</f>
        <v>0</v>
      </c>
      <c r="BJ72" s="16"/>
      <c r="BK72" s="83"/>
      <c r="BL72" s="16"/>
      <c r="BM72" s="22"/>
      <c r="BN72" s="83"/>
      <c r="BO72" s="16"/>
    </row>
    <row r="73" spans="1:67" x14ac:dyDescent="0.3">
      <c r="C73" s="30" t="s">
        <v>610</v>
      </c>
      <c r="AQ73" s="20"/>
      <c r="AX73" s="27" t="s">
        <v>64</v>
      </c>
      <c r="AY73" s="27"/>
    </row>
    <row r="74" spans="1:67" x14ac:dyDescent="0.3">
      <c r="C74" s="30" t="s">
        <v>611</v>
      </c>
      <c r="AQ74" s="4"/>
      <c r="AX74" s="27" t="s">
        <v>92</v>
      </c>
      <c r="AY74" s="32">
        <f>SUM(AY69:AY73)</f>
        <v>500</v>
      </c>
    </row>
    <row r="75" spans="1:67" x14ac:dyDescent="0.3">
      <c r="C75" s="30" t="s">
        <v>612</v>
      </c>
      <c r="D75" s="29"/>
      <c r="E75" s="29"/>
      <c r="AQ75" s="4"/>
      <c r="AX75" s="27"/>
      <c r="AY75" s="27"/>
    </row>
    <row r="76" spans="1:67" x14ac:dyDescent="0.3">
      <c r="C76" s="30" t="s">
        <v>462</v>
      </c>
    </row>
    <row r="77" spans="1:67" x14ac:dyDescent="0.3">
      <c r="C77" s="30" t="s">
        <v>613</v>
      </c>
    </row>
    <row r="78" spans="1:67" x14ac:dyDescent="0.3">
      <c r="C78" s="30" t="s">
        <v>458</v>
      </c>
    </row>
    <row r="79" spans="1:67" x14ac:dyDescent="0.3">
      <c r="C79" s="30" t="s">
        <v>614</v>
      </c>
    </row>
  </sheetData>
  <autoFilter ref="A7:BO64" xr:uid="{00000000-0009-0000-0000-000000000000}">
    <filterColumn colId="43">
      <filters>
        <filter val="Commission"/>
      </filters>
    </filterColumn>
    <filterColumn colId="44">
      <filters>
        <filter val="Sales"/>
      </filters>
    </filterColumn>
  </autoFilter>
  <mergeCells count="5">
    <mergeCell ref="BC6:BF6"/>
    <mergeCell ref="AA6:AD6"/>
    <mergeCell ref="AE6:AI6"/>
    <mergeCell ref="AX6:BA6"/>
    <mergeCell ref="AK6:AP6"/>
  </mergeCells>
  <phoneticPr fontId="2" type="noConversion"/>
  <conditionalFormatting sqref="A7">
    <cfRule type="duplicateValues" dxfId="534" priority="8084"/>
  </conditionalFormatting>
  <conditionalFormatting sqref="A67">
    <cfRule type="duplicateValues" dxfId="533" priority="5402"/>
    <cfRule type="duplicateValues" dxfId="532" priority="5403"/>
  </conditionalFormatting>
  <conditionalFormatting sqref="B55">
    <cfRule type="duplicateValues" dxfId="531" priority="55"/>
    <cfRule type="duplicateValues" dxfId="530" priority="59"/>
    <cfRule type="duplicateValues" dxfId="529" priority="58"/>
    <cfRule type="duplicateValues" dxfId="528" priority="57"/>
  </conditionalFormatting>
  <conditionalFormatting sqref="B56:B57 B52 B10 B12 B14 B16 B18 B21 B23 B25 B27 B30 B32 B34 B36 B38 B40 B42 B44 B46 B48 B54">
    <cfRule type="duplicateValues" dxfId="527" priority="7069"/>
  </conditionalFormatting>
  <conditionalFormatting sqref="B59">
    <cfRule type="duplicateValues" dxfId="526" priority="54"/>
  </conditionalFormatting>
  <conditionalFormatting sqref="B59:B60">
    <cfRule type="duplicateValues" dxfId="525" priority="45"/>
  </conditionalFormatting>
  <conditionalFormatting sqref="B62:B63">
    <cfRule type="duplicateValues" dxfId="524" priority="11"/>
    <cfRule type="duplicateValues" dxfId="523" priority="12"/>
    <cfRule type="duplicateValues" dxfId="522" priority="13"/>
    <cfRule type="duplicateValues" dxfId="521" priority="10"/>
  </conditionalFormatting>
  <conditionalFormatting sqref="B64">
    <cfRule type="duplicateValues" dxfId="520" priority="9"/>
  </conditionalFormatting>
  <conditionalFormatting sqref="B65:B1048576 B56:B58 B1:B19 B21:B54">
    <cfRule type="duplicateValues" dxfId="519" priority="159"/>
  </conditionalFormatting>
  <conditionalFormatting sqref="B66:B1048576 B1:B7">
    <cfRule type="duplicateValues" dxfId="518" priority="10366"/>
  </conditionalFormatting>
  <conditionalFormatting sqref="B66:B1048576">
    <cfRule type="duplicateValues" dxfId="517" priority="10373"/>
  </conditionalFormatting>
  <conditionalFormatting sqref="C7">
    <cfRule type="duplicateValues" dxfId="516" priority="28528"/>
  </conditionalFormatting>
  <conditionalFormatting sqref="C8">
    <cfRule type="duplicateValues" dxfId="515" priority="28511"/>
  </conditionalFormatting>
  <conditionalFormatting sqref="C9">
    <cfRule type="duplicateValues" dxfId="514" priority="28604"/>
  </conditionalFormatting>
  <conditionalFormatting sqref="C10">
    <cfRule type="duplicateValues" dxfId="513" priority="28611"/>
  </conditionalFormatting>
  <conditionalFormatting sqref="C11">
    <cfRule type="duplicateValues" dxfId="512" priority="28522"/>
    <cfRule type="duplicateValues" dxfId="511" priority="28521"/>
    <cfRule type="duplicateValues" dxfId="510" priority="28520"/>
  </conditionalFormatting>
  <conditionalFormatting sqref="C12">
    <cfRule type="duplicateValues" dxfId="509" priority="28606"/>
  </conditionalFormatting>
  <conditionalFormatting sqref="C12:C13">
    <cfRule type="duplicateValues" dxfId="508" priority="29653"/>
  </conditionalFormatting>
  <conditionalFormatting sqref="C13">
    <cfRule type="duplicateValues" dxfId="507" priority="28532"/>
  </conditionalFormatting>
  <conditionalFormatting sqref="C14">
    <cfRule type="duplicateValues" dxfId="506" priority="28536"/>
    <cfRule type="duplicateValues" dxfId="505" priority="28535"/>
    <cfRule type="duplicateValues" dxfId="504" priority="28534"/>
  </conditionalFormatting>
  <conditionalFormatting sqref="C15">
    <cfRule type="duplicateValues" dxfId="503" priority="28748"/>
  </conditionalFormatting>
  <conditionalFormatting sqref="C16">
    <cfRule type="duplicateValues" dxfId="502" priority="29841"/>
    <cfRule type="duplicateValues" dxfId="501" priority="29840"/>
    <cfRule type="duplicateValues" dxfId="500" priority="29839"/>
  </conditionalFormatting>
  <conditionalFormatting sqref="C17:C18">
    <cfRule type="duplicateValues" dxfId="499" priority="28554"/>
  </conditionalFormatting>
  <conditionalFormatting sqref="C19">
    <cfRule type="duplicateValues" dxfId="498" priority="28564"/>
    <cfRule type="duplicateValues" dxfId="497" priority="28567"/>
  </conditionalFormatting>
  <conditionalFormatting sqref="C20">
    <cfRule type="duplicateValues" dxfId="496" priority="67"/>
    <cfRule type="duplicateValues" dxfId="495" priority="69"/>
    <cfRule type="duplicateValues" dxfId="494" priority="68"/>
  </conditionalFormatting>
  <conditionalFormatting sqref="C21">
    <cfRule type="duplicateValues" dxfId="493" priority="28635"/>
  </conditionalFormatting>
  <conditionalFormatting sqref="C21:C22">
    <cfRule type="duplicateValues" dxfId="492" priority="28637"/>
  </conditionalFormatting>
  <conditionalFormatting sqref="C21:C34">
    <cfRule type="duplicateValues" dxfId="491" priority="30109"/>
  </conditionalFormatting>
  <conditionalFormatting sqref="C22">
    <cfRule type="duplicateValues" dxfId="490" priority="28734"/>
  </conditionalFormatting>
  <conditionalFormatting sqref="C23">
    <cfRule type="duplicateValues" dxfId="489" priority="28638"/>
  </conditionalFormatting>
  <conditionalFormatting sqref="C23:C25">
    <cfRule type="duplicateValues" dxfId="488" priority="29689"/>
  </conditionalFormatting>
  <conditionalFormatting sqref="C24">
    <cfRule type="duplicateValues" dxfId="487" priority="29571"/>
  </conditionalFormatting>
  <conditionalFormatting sqref="C25">
    <cfRule type="duplicateValues" dxfId="486" priority="28644"/>
    <cfRule type="duplicateValues" dxfId="485" priority="28645"/>
    <cfRule type="duplicateValues" dxfId="484" priority="28646"/>
  </conditionalFormatting>
  <conditionalFormatting sqref="C26">
    <cfRule type="duplicateValues" dxfId="483" priority="28648"/>
  </conditionalFormatting>
  <conditionalFormatting sqref="C27">
    <cfRule type="duplicateValues" dxfId="482" priority="28653"/>
  </conditionalFormatting>
  <conditionalFormatting sqref="C28">
    <cfRule type="duplicateValues" dxfId="481" priority="28671"/>
  </conditionalFormatting>
  <conditionalFormatting sqref="C29">
    <cfRule type="duplicateValues" dxfId="480" priority="29032"/>
  </conditionalFormatting>
  <conditionalFormatting sqref="C30">
    <cfRule type="duplicateValues" dxfId="479" priority="28693"/>
    <cfRule type="duplicateValues" dxfId="478" priority="28695"/>
    <cfRule type="duplicateValues" dxfId="477" priority="28694"/>
    <cfRule type="duplicateValues" dxfId="476" priority="28681"/>
  </conditionalFormatting>
  <conditionalFormatting sqref="C30:C32">
    <cfRule type="duplicateValues" dxfId="475" priority="29978"/>
  </conditionalFormatting>
  <conditionalFormatting sqref="C31">
    <cfRule type="duplicateValues" dxfId="474" priority="28686"/>
    <cfRule type="duplicateValues" dxfId="473" priority="28685"/>
    <cfRule type="duplicateValues" dxfId="472" priority="28684"/>
  </conditionalFormatting>
  <conditionalFormatting sqref="C32">
    <cfRule type="duplicateValues" dxfId="471" priority="28692"/>
  </conditionalFormatting>
  <conditionalFormatting sqref="C33">
    <cfRule type="duplicateValues" dxfId="470" priority="28687"/>
  </conditionalFormatting>
  <conditionalFormatting sqref="C34">
    <cfRule type="duplicateValues" dxfId="469" priority="28689"/>
  </conditionalFormatting>
  <conditionalFormatting sqref="C35">
    <cfRule type="duplicateValues" dxfId="468" priority="28696"/>
  </conditionalFormatting>
  <conditionalFormatting sqref="C36">
    <cfRule type="duplicateValues" dxfId="467" priority="985"/>
    <cfRule type="duplicateValues" dxfId="466" priority="981"/>
    <cfRule type="duplicateValues" dxfId="465" priority="989"/>
  </conditionalFormatting>
  <conditionalFormatting sqref="C37">
    <cfRule type="duplicateValues" dxfId="464" priority="28703"/>
  </conditionalFormatting>
  <conditionalFormatting sqref="C38">
    <cfRule type="duplicateValues" dxfId="463" priority="28706"/>
    <cfRule type="duplicateValues" dxfId="462" priority="28708"/>
    <cfRule type="duplicateValues" dxfId="461" priority="28707"/>
  </conditionalFormatting>
  <conditionalFormatting sqref="C39">
    <cfRule type="duplicateValues" dxfId="460" priority="28713"/>
    <cfRule type="duplicateValues" dxfId="459" priority="28712"/>
    <cfRule type="duplicateValues" dxfId="458" priority="28711"/>
  </conditionalFormatting>
  <conditionalFormatting sqref="C40">
    <cfRule type="duplicateValues" dxfId="457" priority="28719"/>
    <cfRule type="duplicateValues" dxfId="456" priority="28718"/>
    <cfRule type="duplicateValues" dxfId="455" priority="28720"/>
  </conditionalFormatting>
  <conditionalFormatting sqref="C41">
    <cfRule type="duplicateValues" dxfId="454" priority="28724"/>
    <cfRule type="duplicateValues" dxfId="453" priority="28721"/>
    <cfRule type="duplicateValues" dxfId="452" priority="28723"/>
  </conditionalFormatting>
  <conditionalFormatting sqref="C42">
    <cfRule type="duplicateValues" dxfId="451" priority="28752"/>
  </conditionalFormatting>
  <conditionalFormatting sqref="C43">
    <cfRule type="duplicateValues" dxfId="450" priority="28843"/>
  </conditionalFormatting>
  <conditionalFormatting sqref="C44">
    <cfRule type="duplicateValues" dxfId="449" priority="1002"/>
    <cfRule type="duplicateValues" dxfId="448" priority="1004"/>
    <cfRule type="duplicateValues" dxfId="447" priority="1003"/>
  </conditionalFormatting>
  <conditionalFormatting sqref="C45">
    <cfRule type="duplicateValues" dxfId="446" priority="538"/>
    <cfRule type="duplicateValues" dxfId="445" priority="545"/>
    <cfRule type="duplicateValues" dxfId="444" priority="546"/>
    <cfRule type="duplicateValues" dxfId="443" priority="547"/>
  </conditionalFormatting>
  <conditionalFormatting sqref="C46">
    <cfRule type="duplicateValues" dxfId="442" priority="466"/>
    <cfRule type="duplicateValues" dxfId="441" priority="463"/>
    <cfRule type="duplicateValues" dxfId="440" priority="462"/>
    <cfRule type="duplicateValues" dxfId="439" priority="470"/>
  </conditionalFormatting>
  <conditionalFormatting sqref="C47">
    <cfRule type="duplicateValues" dxfId="438" priority="415"/>
    <cfRule type="duplicateValues" dxfId="437" priority="416"/>
    <cfRule type="duplicateValues" dxfId="436" priority="417"/>
  </conditionalFormatting>
  <conditionalFormatting sqref="C48">
    <cfRule type="duplicateValues" dxfId="435" priority="400"/>
  </conditionalFormatting>
  <conditionalFormatting sqref="C49">
    <cfRule type="duplicateValues" dxfId="434" priority="308"/>
    <cfRule type="duplicateValues" dxfId="433" priority="307"/>
    <cfRule type="duplicateValues" dxfId="432" priority="305"/>
    <cfRule type="duplicateValues" dxfId="431" priority="306"/>
  </conditionalFormatting>
  <conditionalFormatting sqref="C50:C51">
    <cfRule type="duplicateValues" dxfId="430" priority="304"/>
  </conditionalFormatting>
  <conditionalFormatting sqref="C52">
    <cfRule type="duplicateValues" dxfId="429" priority="30006"/>
  </conditionalFormatting>
  <conditionalFormatting sqref="C53">
    <cfRule type="duplicateValues" dxfId="428" priority="234"/>
    <cfRule type="duplicateValues" dxfId="427" priority="235"/>
    <cfRule type="duplicateValues" dxfId="426" priority="236"/>
  </conditionalFormatting>
  <conditionalFormatting sqref="C53:C54">
    <cfRule type="duplicateValues" dxfId="425" priority="30052"/>
  </conditionalFormatting>
  <conditionalFormatting sqref="C54">
    <cfRule type="duplicateValues" dxfId="424" priority="30051"/>
  </conditionalFormatting>
  <conditionalFormatting sqref="C55">
    <cfRule type="duplicateValues" dxfId="423" priority="63"/>
  </conditionalFormatting>
  <conditionalFormatting sqref="C56">
    <cfRule type="duplicateValues" dxfId="422" priority="107"/>
  </conditionalFormatting>
  <conditionalFormatting sqref="C57 C65">
    <cfRule type="duplicateValues" dxfId="421" priority="184"/>
  </conditionalFormatting>
  <conditionalFormatting sqref="C58">
    <cfRule type="duplicateValues" dxfId="420" priority="81"/>
  </conditionalFormatting>
  <conditionalFormatting sqref="C59">
    <cfRule type="duplicateValues" dxfId="419" priority="42"/>
    <cfRule type="duplicateValues" dxfId="418" priority="44"/>
    <cfRule type="duplicateValues" dxfId="417" priority="43"/>
  </conditionalFormatting>
  <conditionalFormatting sqref="C60">
    <cfRule type="duplicateValues" dxfId="416" priority="50"/>
  </conditionalFormatting>
  <conditionalFormatting sqref="C61">
    <cfRule type="duplicateValues" dxfId="415" priority="36"/>
  </conditionalFormatting>
  <conditionalFormatting sqref="C62:C63">
    <cfRule type="duplicateValues" dxfId="414" priority="21"/>
  </conditionalFormatting>
  <conditionalFormatting sqref="C64">
    <cfRule type="duplicateValues" dxfId="413" priority="8"/>
  </conditionalFormatting>
  <conditionalFormatting sqref="C66">
    <cfRule type="duplicateValues" dxfId="412" priority="28506"/>
    <cfRule type="duplicateValues" dxfId="411" priority="28505"/>
  </conditionalFormatting>
  <conditionalFormatting sqref="C66:C68 C1:C6 C8:C10 C70:C1048576">
    <cfRule type="duplicateValues" dxfId="410" priority="28515"/>
  </conditionalFormatting>
  <conditionalFormatting sqref="C66:C68 C1:C6 C8:C11 C70:C1048576">
    <cfRule type="duplicateValues" dxfId="409" priority="28523"/>
  </conditionalFormatting>
  <conditionalFormatting sqref="C66:C68 C1:C6 C74:C1048576">
    <cfRule type="duplicateValues" dxfId="408" priority="28502"/>
  </conditionalFormatting>
  <conditionalFormatting sqref="C66:C68 C1:C14 C16:C19 C70:C1048576">
    <cfRule type="duplicateValues" dxfId="407" priority="28616"/>
  </conditionalFormatting>
  <conditionalFormatting sqref="C66:C68 C17:C18 C1:C14 C70:C1048576">
    <cfRule type="duplicateValues" dxfId="406" priority="28551"/>
  </conditionalFormatting>
  <conditionalFormatting sqref="C66:C68 C70:C1048576">
    <cfRule type="duplicateValues" dxfId="405" priority="28519"/>
  </conditionalFormatting>
  <conditionalFormatting sqref="C67:C68">
    <cfRule type="duplicateValues" dxfId="404" priority="28510"/>
  </conditionalFormatting>
  <conditionalFormatting sqref="C70:C71 C73:C77">
    <cfRule type="duplicateValues" dxfId="403" priority="28508"/>
  </conditionalFormatting>
  <conditionalFormatting sqref="C72">
    <cfRule type="duplicateValues" dxfId="402" priority="28509"/>
  </conditionalFormatting>
  <conditionalFormatting sqref="C73">
    <cfRule type="duplicateValues" dxfId="401" priority="1000"/>
    <cfRule type="duplicateValues" dxfId="400" priority="28766"/>
  </conditionalFormatting>
  <conditionalFormatting sqref="C73:C77">
    <cfRule type="duplicateValues" dxfId="399" priority="28512"/>
  </conditionalFormatting>
  <conditionalFormatting sqref="C74">
    <cfRule type="duplicateValues" dxfId="398" priority="993"/>
    <cfRule type="duplicateValues" dxfId="397" priority="28590"/>
  </conditionalFormatting>
  <conditionalFormatting sqref="C74:C1048576">
    <cfRule type="duplicateValues" dxfId="396" priority="28507"/>
  </conditionalFormatting>
  <conditionalFormatting sqref="C75">
    <cfRule type="duplicateValues" dxfId="395" priority="422"/>
    <cfRule type="duplicateValues" dxfId="394" priority="28513"/>
    <cfRule type="duplicateValues" dxfId="393" priority="996"/>
    <cfRule type="duplicateValues" dxfId="392" priority="426"/>
  </conditionalFormatting>
  <conditionalFormatting sqref="C76">
    <cfRule type="duplicateValues" dxfId="391" priority="428"/>
    <cfRule type="duplicateValues" dxfId="390" priority="998"/>
    <cfRule type="duplicateValues" dxfId="389" priority="419"/>
    <cfRule type="duplicateValues" dxfId="388" priority="28538"/>
  </conditionalFormatting>
  <conditionalFormatting sqref="C77">
    <cfRule type="duplicateValues" dxfId="387" priority="28542"/>
    <cfRule type="duplicateValues" dxfId="386" priority="994"/>
    <cfRule type="duplicateValues" dxfId="385" priority="421"/>
    <cfRule type="duplicateValues" dxfId="384" priority="424"/>
  </conditionalFormatting>
  <conditionalFormatting sqref="C78">
    <cfRule type="duplicateValues" dxfId="383" priority="28514"/>
    <cfRule type="duplicateValues" dxfId="382" priority="997"/>
    <cfRule type="duplicateValues" dxfId="381" priority="423"/>
    <cfRule type="duplicateValues" dxfId="380" priority="427"/>
  </conditionalFormatting>
  <conditionalFormatting sqref="C79">
    <cfRule type="duplicateValues" dxfId="379" priority="356"/>
    <cfRule type="duplicateValues" dxfId="378" priority="355"/>
    <cfRule type="duplicateValues" dxfId="377" priority="354"/>
    <cfRule type="duplicateValues" dxfId="376" priority="429"/>
    <cfRule type="duplicateValues" dxfId="375" priority="28539"/>
    <cfRule type="duplicateValues" dxfId="374" priority="999"/>
    <cfRule type="duplicateValues" dxfId="373" priority="420"/>
  </conditionalFormatting>
  <conditionalFormatting sqref="C80">
    <cfRule type="duplicateValues" dxfId="372" priority="28543"/>
    <cfRule type="duplicateValues" dxfId="371" priority="995"/>
    <cfRule type="duplicateValues" dxfId="370" priority="425"/>
  </conditionalFormatting>
  <conditionalFormatting sqref="C81">
    <cfRule type="duplicateValues" dxfId="369" priority="28518"/>
  </conditionalFormatting>
  <conditionalFormatting sqref="C82">
    <cfRule type="duplicateValues" dxfId="368" priority="842"/>
    <cfRule type="duplicateValues" dxfId="367" priority="843"/>
    <cfRule type="duplicateValues" dxfId="366" priority="28544"/>
  </conditionalFormatting>
  <conditionalFormatting sqref="C83">
    <cfRule type="duplicateValues" dxfId="365" priority="28526"/>
  </conditionalFormatting>
  <conditionalFormatting sqref="C85">
    <cfRule type="duplicateValues" dxfId="364" priority="28527"/>
  </conditionalFormatting>
  <conditionalFormatting sqref="I12">
    <cfRule type="duplicateValues" dxfId="363" priority="3802"/>
  </conditionalFormatting>
  <conditionalFormatting sqref="I13">
    <cfRule type="duplicateValues" dxfId="362" priority="3796"/>
  </conditionalFormatting>
  <conditionalFormatting sqref="I14">
    <cfRule type="duplicateValues" dxfId="361" priority="3753"/>
  </conditionalFormatting>
  <conditionalFormatting sqref="I23">
    <cfRule type="duplicateValues" dxfId="360" priority="1584"/>
  </conditionalFormatting>
  <conditionalFormatting sqref="I24">
    <cfRule type="duplicateValues" dxfId="359" priority="29557"/>
  </conditionalFormatting>
  <conditionalFormatting sqref="I28">
    <cfRule type="duplicateValues" dxfId="358" priority="1424"/>
  </conditionalFormatting>
  <conditionalFormatting sqref="I32">
    <cfRule type="duplicateValues" dxfId="357" priority="1361"/>
    <cfRule type="duplicateValues" dxfId="356" priority="1360"/>
  </conditionalFormatting>
  <conditionalFormatting sqref="I37">
    <cfRule type="duplicateValues" dxfId="355" priority="1296"/>
  </conditionalFormatting>
  <conditionalFormatting sqref="I50:I51">
    <cfRule type="duplicateValues" dxfId="354" priority="298"/>
  </conditionalFormatting>
  <conditionalFormatting sqref="I56">
    <cfRule type="duplicateValues" dxfId="353" priority="106"/>
  </conditionalFormatting>
  <conditionalFormatting sqref="I57 I65">
    <cfRule type="duplicateValues" dxfId="352" priority="183"/>
  </conditionalFormatting>
  <conditionalFormatting sqref="I58">
    <cfRule type="duplicateValues" dxfId="351" priority="77"/>
  </conditionalFormatting>
  <conditionalFormatting sqref="I60">
    <cfRule type="duplicateValues" dxfId="350" priority="49"/>
  </conditionalFormatting>
  <conditionalFormatting sqref="I61">
    <cfRule type="duplicateValues" dxfId="349" priority="25"/>
  </conditionalFormatting>
  <conditionalFormatting sqref="I62:I63">
    <cfRule type="duplicateValues" dxfId="348" priority="17"/>
  </conditionalFormatting>
  <conditionalFormatting sqref="I64">
    <cfRule type="duplicateValues" dxfId="347" priority="4"/>
  </conditionalFormatting>
  <conditionalFormatting sqref="AU8">
    <cfRule type="duplicateValues" dxfId="346" priority="27295"/>
  </conditionalFormatting>
  <conditionalFormatting sqref="AU9">
    <cfRule type="duplicateValues" dxfId="345" priority="26964"/>
  </conditionalFormatting>
  <conditionalFormatting sqref="AU10">
    <cfRule type="duplicateValues" dxfId="344" priority="27889"/>
  </conditionalFormatting>
  <conditionalFormatting sqref="AU11">
    <cfRule type="duplicateValues" dxfId="343" priority="19748"/>
  </conditionalFormatting>
  <conditionalFormatting sqref="AU12">
    <cfRule type="duplicateValues" dxfId="342" priority="3801"/>
    <cfRule type="duplicateValues" dxfId="341" priority="4011"/>
    <cfRule type="duplicateValues" dxfId="340" priority="28867"/>
    <cfRule type="duplicateValues" dxfId="339" priority="28868"/>
  </conditionalFormatting>
  <conditionalFormatting sqref="AU12:AU13">
    <cfRule type="duplicateValues" dxfId="338" priority="29652"/>
  </conditionalFormatting>
  <conditionalFormatting sqref="AU13">
    <cfRule type="duplicateValues" dxfId="337" priority="3797"/>
    <cfRule type="duplicateValues" dxfId="336" priority="27683"/>
    <cfRule type="duplicateValues" dxfId="335" priority="27684"/>
  </conditionalFormatting>
  <conditionalFormatting sqref="AU14">
    <cfRule type="duplicateValues" dxfId="334" priority="3974"/>
    <cfRule type="duplicateValues" dxfId="333" priority="3971"/>
    <cfRule type="duplicateValues" dxfId="332" priority="3973"/>
  </conditionalFormatting>
  <conditionalFormatting sqref="AU15">
    <cfRule type="duplicateValues" dxfId="331" priority="1176"/>
    <cfRule type="duplicateValues" dxfId="330" priority="1178"/>
  </conditionalFormatting>
  <conditionalFormatting sqref="AU16">
    <cfRule type="duplicateValues" dxfId="329" priority="29827"/>
    <cfRule type="duplicateValues" dxfId="328" priority="29828"/>
    <cfRule type="duplicateValues" dxfId="327" priority="29829"/>
  </conditionalFormatting>
  <conditionalFormatting sqref="AU19">
    <cfRule type="duplicateValues" dxfId="326" priority="2882"/>
  </conditionalFormatting>
  <conditionalFormatting sqref="AU21">
    <cfRule type="duplicateValues" dxfId="325" priority="1610"/>
    <cfRule type="duplicateValues" dxfId="324" priority="1611"/>
    <cfRule type="duplicateValues" dxfId="323" priority="1638"/>
    <cfRule type="duplicateValues" dxfId="322" priority="1639"/>
  </conditionalFormatting>
  <conditionalFormatting sqref="AU22">
    <cfRule type="duplicateValues" dxfId="321" priority="1609"/>
  </conditionalFormatting>
  <conditionalFormatting sqref="AU23">
    <cfRule type="duplicateValues" dxfId="320" priority="1583"/>
    <cfRule type="duplicateValues" dxfId="319" priority="1582"/>
    <cfRule type="duplicateValues" dxfId="318" priority="1581"/>
    <cfRule type="duplicateValues" dxfId="317" priority="1580"/>
    <cfRule type="duplicateValues" dxfId="316" priority="1579"/>
  </conditionalFormatting>
  <conditionalFormatting sqref="AU24">
    <cfRule type="duplicateValues" dxfId="315" priority="29556"/>
    <cfRule type="duplicateValues" dxfId="314" priority="29575"/>
    <cfRule type="duplicateValues" dxfId="313" priority="29576"/>
  </conditionalFormatting>
  <conditionalFormatting sqref="AU25">
    <cfRule type="duplicateValues" dxfId="312" priority="1559"/>
    <cfRule type="duplicateValues" dxfId="311" priority="1558"/>
    <cfRule type="duplicateValues" dxfId="310" priority="1557"/>
    <cfRule type="duplicateValues" dxfId="309" priority="1550"/>
    <cfRule type="duplicateValues" dxfId="308" priority="1549"/>
  </conditionalFormatting>
  <conditionalFormatting sqref="AU26">
    <cfRule type="duplicateValues" dxfId="307" priority="1537"/>
    <cfRule type="duplicateValues" dxfId="306" priority="1540"/>
  </conditionalFormatting>
  <conditionalFormatting sqref="AU27">
    <cfRule type="duplicateValues" dxfId="305" priority="1506"/>
    <cfRule type="duplicateValues" dxfId="304" priority="1504"/>
    <cfRule type="duplicateValues" dxfId="303" priority="1505"/>
    <cfRule type="duplicateValues" dxfId="302" priority="1502"/>
    <cfRule type="duplicateValues" dxfId="301" priority="1503"/>
  </conditionalFormatting>
  <conditionalFormatting sqref="AU28">
    <cfRule type="duplicateValues" dxfId="300" priority="1425"/>
    <cfRule type="duplicateValues" dxfId="299" priority="1423"/>
    <cfRule type="duplicateValues" dxfId="298" priority="1422"/>
    <cfRule type="duplicateValues" dxfId="297" priority="1421"/>
    <cfRule type="duplicateValues" dxfId="296" priority="1430"/>
    <cfRule type="duplicateValues" dxfId="295" priority="1431"/>
    <cfRule type="duplicateValues" dxfId="294" priority="1428"/>
  </conditionalFormatting>
  <conditionalFormatting sqref="AU29">
    <cfRule type="duplicateValues" dxfId="293" priority="30080"/>
  </conditionalFormatting>
  <conditionalFormatting sqref="AU30">
    <cfRule type="duplicateValues" dxfId="292" priority="1374"/>
    <cfRule type="duplicateValues" dxfId="291" priority="1387"/>
    <cfRule type="duplicateValues" dxfId="290" priority="1388"/>
    <cfRule type="duplicateValues" dxfId="289" priority="1389"/>
    <cfRule type="duplicateValues" dxfId="288" priority="1386"/>
  </conditionalFormatting>
  <conditionalFormatting sqref="AU31">
    <cfRule type="duplicateValues" dxfId="287" priority="1365"/>
    <cfRule type="duplicateValues" dxfId="286" priority="1367"/>
    <cfRule type="duplicateValues" dxfId="285" priority="1362"/>
    <cfRule type="duplicateValues" dxfId="284" priority="1366"/>
    <cfRule type="duplicateValues" dxfId="283" priority="1363"/>
  </conditionalFormatting>
  <conditionalFormatting sqref="AU33">
    <cfRule type="duplicateValues" dxfId="282" priority="29518"/>
    <cfRule type="duplicateValues" dxfId="281" priority="29517"/>
    <cfRule type="duplicateValues" dxfId="280" priority="1354"/>
  </conditionalFormatting>
  <conditionalFormatting sqref="AU34">
    <cfRule type="duplicateValues" dxfId="279" priority="1393"/>
    <cfRule type="duplicateValues" dxfId="278" priority="1385"/>
    <cfRule type="duplicateValues" dxfId="277" priority="1352"/>
    <cfRule type="duplicateValues" dxfId="276" priority="1390"/>
    <cfRule type="duplicateValues" dxfId="275" priority="1392"/>
  </conditionalFormatting>
  <conditionalFormatting sqref="AU35">
    <cfRule type="duplicateValues" dxfId="274" priority="1340"/>
    <cfRule type="duplicateValues" dxfId="273" priority="1335"/>
  </conditionalFormatting>
  <conditionalFormatting sqref="AU36">
    <cfRule type="duplicateValues" dxfId="272" priority="987"/>
    <cfRule type="duplicateValues" dxfId="271" priority="983"/>
    <cfRule type="duplicateValues" dxfId="270" priority="986"/>
    <cfRule type="duplicateValues" dxfId="269" priority="988"/>
    <cfRule type="duplicateValues" dxfId="268" priority="982"/>
  </conditionalFormatting>
  <conditionalFormatting sqref="AU37">
    <cfRule type="duplicateValues" dxfId="267" priority="1297"/>
    <cfRule type="duplicateValues" dxfId="266" priority="1300"/>
    <cfRule type="duplicateValues" dxfId="265" priority="1293"/>
    <cfRule type="duplicateValues" dxfId="264" priority="1302"/>
    <cfRule type="duplicateValues" dxfId="263" priority="1294"/>
    <cfRule type="duplicateValues" dxfId="262" priority="1295"/>
    <cfRule type="duplicateValues" dxfId="261" priority="1303"/>
  </conditionalFormatting>
  <conditionalFormatting sqref="AU38">
    <cfRule type="duplicateValues" dxfId="260" priority="1280"/>
    <cfRule type="duplicateValues" dxfId="259" priority="1281"/>
    <cfRule type="duplicateValues" dxfId="258" priority="1279"/>
  </conditionalFormatting>
  <conditionalFormatting sqref="AU39">
    <cfRule type="duplicateValues" dxfId="257" priority="1265"/>
    <cfRule type="duplicateValues" dxfId="256" priority="1266"/>
    <cfRule type="duplicateValues" dxfId="255" priority="1267"/>
    <cfRule type="duplicateValues" dxfId="254" priority="1271"/>
    <cfRule type="duplicateValues" dxfId="253" priority="1272"/>
  </conditionalFormatting>
  <conditionalFormatting sqref="AU40">
    <cfRule type="duplicateValues" dxfId="252" priority="1241"/>
    <cfRule type="duplicateValues" dxfId="251" priority="1242"/>
    <cfRule type="duplicateValues" dxfId="250" priority="1243"/>
  </conditionalFormatting>
  <conditionalFormatting sqref="AU41">
    <cfRule type="duplicateValues" dxfId="249" priority="1228"/>
    <cfRule type="duplicateValues" dxfId="248" priority="1229"/>
    <cfRule type="duplicateValues" dxfId="247" priority="1230"/>
    <cfRule type="duplicateValues" dxfId="246" priority="1224"/>
    <cfRule type="duplicateValues" dxfId="245" priority="1222"/>
  </conditionalFormatting>
  <conditionalFormatting sqref="AU43">
    <cfRule type="duplicateValues" dxfId="244" priority="28841"/>
  </conditionalFormatting>
  <conditionalFormatting sqref="AU44">
    <cfRule type="duplicateValues" dxfId="243" priority="1005"/>
  </conditionalFormatting>
  <conditionalFormatting sqref="AU45">
    <cfRule type="duplicateValues" dxfId="242" priority="543"/>
    <cfRule type="duplicateValues" dxfId="241" priority="544"/>
  </conditionalFormatting>
  <conditionalFormatting sqref="AU46">
    <cfRule type="duplicateValues" dxfId="240" priority="469"/>
    <cfRule type="duplicateValues" dxfId="239" priority="468"/>
    <cfRule type="duplicateValues" dxfId="238" priority="461"/>
    <cfRule type="duplicateValues" dxfId="237" priority="464"/>
    <cfRule type="duplicateValues" dxfId="236" priority="467"/>
  </conditionalFormatting>
  <conditionalFormatting sqref="AU47">
    <cfRule type="duplicateValues" dxfId="235" priority="418"/>
  </conditionalFormatting>
  <conditionalFormatting sqref="AU48">
    <cfRule type="duplicateValues" dxfId="234" priority="393"/>
  </conditionalFormatting>
  <conditionalFormatting sqref="AU50:AU51">
    <cfRule type="duplicateValues" dxfId="233" priority="300"/>
    <cfRule type="duplicateValues" dxfId="232" priority="301"/>
    <cfRule type="duplicateValues" dxfId="231" priority="299"/>
    <cfRule type="duplicateValues" dxfId="230" priority="282"/>
    <cfRule type="duplicateValues" dxfId="229" priority="283"/>
    <cfRule type="duplicateValues" dxfId="228" priority="286"/>
    <cfRule type="duplicateValues" dxfId="227" priority="281"/>
  </conditionalFormatting>
  <conditionalFormatting sqref="AU52">
    <cfRule type="duplicateValues" dxfId="226" priority="29859"/>
  </conditionalFormatting>
  <conditionalFormatting sqref="AU54">
    <cfRule type="duplicateValues" dxfId="225" priority="30048"/>
    <cfRule type="duplicateValues" dxfId="224" priority="30045"/>
    <cfRule type="duplicateValues" dxfId="223" priority="30047"/>
  </conditionalFormatting>
  <conditionalFormatting sqref="AU55">
    <cfRule type="duplicateValues" dxfId="222" priority="56"/>
  </conditionalFormatting>
  <conditionalFormatting sqref="AU56">
    <cfRule type="duplicateValues" dxfId="221" priority="100"/>
    <cfRule type="duplicateValues" dxfId="220" priority="102"/>
    <cfRule type="duplicateValues" dxfId="219" priority="101"/>
  </conditionalFormatting>
  <conditionalFormatting sqref="AU57">
    <cfRule type="duplicateValues" dxfId="218" priority="109"/>
    <cfRule type="duplicateValues" dxfId="217" priority="110"/>
    <cfRule type="duplicateValues" dxfId="216" priority="108"/>
  </conditionalFormatting>
  <conditionalFormatting sqref="AU58">
    <cfRule type="duplicateValues" dxfId="215" priority="80"/>
    <cfRule type="duplicateValues" dxfId="214" priority="78"/>
    <cfRule type="duplicateValues" dxfId="213" priority="79"/>
  </conditionalFormatting>
  <conditionalFormatting sqref="AU59">
    <cfRule type="duplicateValues" dxfId="212" priority="40"/>
    <cfRule type="duplicateValues" dxfId="211" priority="37"/>
    <cfRule type="duplicateValues" dxfId="210" priority="39"/>
    <cfRule type="duplicateValues" dxfId="209" priority="41"/>
    <cfRule type="duplicateValues" dxfId="208" priority="38"/>
  </conditionalFormatting>
  <conditionalFormatting sqref="AU60">
    <cfRule type="duplicateValues" dxfId="207" priority="46"/>
    <cfRule type="duplicateValues" dxfId="206" priority="47"/>
    <cfRule type="duplicateValues" dxfId="205" priority="48"/>
  </conditionalFormatting>
  <conditionalFormatting sqref="AU61">
    <cfRule type="duplicateValues" dxfId="204" priority="26"/>
    <cfRule type="duplicateValues" dxfId="203" priority="32"/>
    <cfRule type="duplicateValues" dxfId="202" priority="31"/>
    <cfRule type="duplicateValues" dxfId="201" priority="29"/>
    <cfRule type="duplicateValues" dxfId="200" priority="24"/>
    <cfRule type="duplicateValues" dxfId="199" priority="23"/>
    <cfRule type="duplicateValues" dxfId="198" priority="22"/>
  </conditionalFormatting>
  <conditionalFormatting sqref="AU62:AU63">
    <cfRule type="duplicateValues" dxfId="197" priority="20"/>
    <cfRule type="duplicateValues" dxfId="196" priority="19"/>
    <cfRule type="duplicateValues" dxfId="195" priority="18"/>
  </conditionalFormatting>
  <conditionalFormatting sqref="AU64">
    <cfRule type="duplicateValues" dxfId="194" priority="6"/>
    <cfRule type="duplicateValues" dxfId="193" priority="5"/>
    <cfRule type="duplicateValues" dxfId="192" priority="7"/>
  </conditionalFormatting>
  <conditionalFormatting sqref="AU65">
    <cfRule type="duplicateValues" dxfId="191" priority="172"/>
    <cfRule type="duplicateValues" dxfId="190" priority="173"/>
    <cfRule type="duplicateValues" dxfId="189" priority="169"/>
  </conditionalFormatting>
  <conditionalFormatting sqref="AU67:AU1048576 AU1:AU7">
    <cfRule type="duplicateValues" dxfId="188" priority="10369"/>
  </conditionalFormatting>
  <conditionalFormatting sqref="AU67:AU1048576 AU1:AU10">
    <cfRule type="duplicateValues" dxfId="187" priority="6094"/>
  </conditionalFormatting>
  <conditionalFormatting sqref="AU67:AU1048576 AU1:AU11">
    <cfRule type="duplicateValues" dxfId="186" priority="5008"/>
  </conditionalFormatting>
  <conditionalFormatting sqref="AU67:AU1048576">
    <cfRule type="duplicateValues" dxfId="185" priority="5740"/>
  </conditionalFormatting>
  <conditionalFormatting sqref="BL7">
    <cfRule type="duplicateValues" dxfId="184" priority="7013"/>
  </conditionalFormatting>
  <conditionalFormatting sqref="BL8">
    <cfRule type="duplicateValues" dxfId="183" priority="6834"/>
  </conditionalFormatting>
  <conditionalFormatting sqref="BL8:BL10">
    <cfRule type="duplicateValues" dxfId="182" priority="28331"/>
    <cfRule type="duplicateValues" dxfId="181" priority="28332"/>
    <cfRule type="duplicateValues" dxfId="180" priority="28333"/>
  </conditionalFormatting>
  <conditionalFormatting sqref="BL9">
    <cfRule type="duplicateValues" dxfId="179" priority="26965"/>
  </conditionalFormatting>
  <conditionalFormatting sqref="BL10">
    <cfRule type="duplicateValues" dxfId="178" priority="27890"/>
  </conditionalFormatting>
  <conditionalFormatting sqref="BL11">
    <cfRule type="duplicateValues" dxfId="177" priority="19745"/>
    <cfRule type="duplicateValues" dxfId="176" priority="19747"/>
    <cfRule type="duplicateValues" dxfId="175" priority="19746"/>
  </conditionalFormatting>
  <conditionalFormatting sqref="BL12">
    <cfRule type="duplicateValues" dxfId="174" priority="27080"/>
  </conditionalFormatting>
  <conditionalFormatting sqref="BL12:BL13">
    <cfRule type="duplicateValues" dxfId="173" priority="29649"/>
    <cfRule type="duplicateValues" dxfId="172" priority="29650"/>
    <cfRule type="duplicateValues" dxfId="171" priority="29651"/>
  </conditionalFormatting>
  <conditionalFormatting sqref="BL13">
    <cfRule type="duplicateValues" dxfId="170" priority="3778"/>
    <cfRule type="duplicateValues" dxfId="169" priority="3773"/>
    <cfRule type="duplicateValues" dxfId="168" priority="3774"/>
  </conditionalFormatting>
  <conditionalFormatting sqref="BL14">
    <cfRule type="duplicateValues" dxfId="167" priority="26021"/>
    <cfRule type="duplicateValues" dxfId="166" priority="26020"/>
    <cfRule type="duplicateValues" dxfId="165" priority="26019"/>
  </conditionalFormatting>
  <conditionalFormatting sqref="BL15">
    <cfRule type="duplicateValues" dxfId="164" priority="1179"/>
    <cfRule type="duplicateValues" dxfId="163" priority="1175"/>
  </conditionalFormatting>
  <conditionalFormatting sqref="BL16">
    <cfRule type="duplicateValues" dxfId="162" priority="29830"/>
    <cfRule type="duplicateValues" dxfId="161" priority="29831"/>
    <cfRule type="duplicateValues" dxfId="160" priority="29832"/>
  </conditionalFormatting>
  <conditionalFormatting sqref="BL17:BL18">
    <cfRule type="duplicateValues" dxfId="159" priority="3067"/>
    <cfRule type="duplicateValues" dxfId="158" priority="3071"/>
    <cfRule type="duplicateValues" dxfId="157" priority="3069"/>
    <cfRule type="duplicateValues" dxfId="156" priority="3068"/>
    <cfRule type="duplicateValues" dxfId="155" priority="3070"/>
    <cfRule type="duplicateValues" dxfId="154" priority="3072"/>
  </conditionalFormatting>
  <conditionalFormatting sqref="BL19">
    <cfRule type="duplicateValues" dxfId="153" priority="2883"/>
    <cfRule type="duplicateValues" dxfId="152" priority="2884"/>
  </conditionalFormatting>
  <conditionalFormatting sqref="BL20">
    <cfRule type="duplicateValues" dxfId="151" priority="66"/>
    <cfRule type="duplicateValues" dxfId="150" priority="64"/>
    <cfRule type="duplicateValues" dxfId="149" priority="65"/>
  </conditionalFormatting>
  <conditionalFormatting sqref="BL21">
    <cfRule type="duplicateValues" dxfId="148" priority="1668"/>
    <cfRule type="duplicateValues" dxfId="147" priority="1667"/>
    <cfRule type="duplicateValues" dxfId="146" priority="1626"/>
  </conditionalFormatting>
  <conditionalFormatting sqref="BL22">
    <cfRule type="duplicateValues" dxfId="145" priority="1633"/>
    <cfRule type="duplicateValues" dxfId="144" priority="1634"/>
    <cfRule type="duplicateValues" dxfId="143" priority="1635"/>
  </conditionalFormatting>
  <conditionalFormatting sqref="BL23">
    <cfRule type="duplicateValues" dxfId="142" priority="1548"/>
    <cfRule type="duplicateValues" dxfId="141" priority="1547"/>
    <cfRule type="duplicateValues" dxfId="140" priority="1546"/>
  </conditionalFormatting>
  <conditionalFormatting sqref="BL24">
    <cfRule type="duplicateValues" dxfId="139" priority="29559"/>
    <cfRule type="duplicateValues" dxfId="138" priority="29577"/>
    <cfRule type="duplicateValues" dxfId="137" priority="29578"/>
  </conditionalFormatting>
  <conditionalFormatting sqref="BL25">
    <cfRule type="duplicateValues" dxfId="136" priority="1554"/>
    <cfRule type="duplicateValues" dxfId="135" priority="1560"/>
    <cfRule type="duplicateValues" dxfId="134" priority="1561"/>
    <cfRule type="duplicateValues" dxfId="133" priority="1562"/>
    <cfRule type="duplicateValues" dxfId="132" priority="1563"/>
    <cfRule type="duplicateValues" dxfId="131" priority="1564"/>
    <cfRule type="duplicateValues" dxfId="130" priority="1555"/>
    <cfRule type="duplicateValues" dxfId="129" priority="1565"/>
    <cfRule type="duplicateValues" dxfId="128" priority="1553"/>
  </conditionalFormatting>
  <conditionalFormatting sqref="BL26">
    <cfRule type="duplicateValues" dxfId="127" priority="1539"/>
    <cfRule type="duplicateValues" dxfId="126" priority="1545"/>
    <cfRule type="duplicateValues" dxfId="125" priority="1544"/>
    <cfRule type="duplicateValues" dxfId="124" priority="1541"/>
  </conditionalFormatting>
  <conditionalFormatting sqref="BL27">
    <cfRule type="duplicateValues" dxfId="123" priority="1500"/>
    <cfRule type="duplicateValues" dxfId="122" priority="1501"/>
    <cfRule type="duplicateValues" dxfId="121" priority="1498"/>
  </conditionalFormatting>
  <conditionalFormatting sqref="BL28">
    <cfRule type="duplicateValues" dxfId="120" priority="1429"/>
    <cfRule type="duplicateValues" dxfId="119" priority="1434"/>
    <cfRule type="duplicateValues" dxfId="118" priority="1432"/>
    <cfRule type="duplicateValues" dxfId="117" priority="1427"/>
    <cfRule type="duplicateValues" dxfId="116" priority="1426"/>
    <cfRule type="duplicateValues" dxfId="115" priority="1433"/>
  </conditionalFormatting>
  <conditionalFormatting sqref="BL29">
    <cfRule type="duplicateValues" dxfId="114" priority="30083"/>
    <cfRule type="duplicateValues" dxfId="113" priority="30081"/>
    <cfRule type="duplicateValues" dxfId="112" priority="30082"/>
  </conditionalFormatting>
  <conditionalFormatting sqref="BL31">
    <cfRule type="duplicateValues" dxfId="111" priority="1370"/>
    <cfRule type="duplicateValues" dxfId="110" priority="1368"/>
    <cfRule type="duplicateValues" dxfId="109" priority="1369"/>
  </conditionalFormatting>
  <conditionalFormatting sqref="BL32">
    <cfRule type="duplicateValues" dxfId="108" priority="1404"/>
    <cfRule type="duplicateValues" dxfId="107" priority="1405"/>
    <cfRule type="duplicateValues" dxfId="106" priority="1406"/>
  </conditionalFormatting>
  <conditionalFormatting sqref="BL33">
    <cfRule type="duplicateValues" dxfId="105" priority="29520"/>
    <cfRule type="duplicateValues" dxfId="104" priority="29519"/>
    <cfRule type="duplicateValues" dxfId="103" priority="1355"/>
  </conditionalFormatting>
  <conditionalFormatting sqref="BL34">
    <cfRule type="duplicateValues" dxfId="102" priority="1394"/>
    <cfRule type="duplicateValues" dxfId="101" priority="1396"/>
    <cfRule type="duplicateValues" dxfId="100" priority="1351"/>
    <cfRule type="duplicateValues" dxfId="99" priority="1395"/>
  </conditionalFormatting>
  <conditionalFormatting sqref="BL35">
    <cfRule type="duplicateValues" dxfId="98" priority="1337"/>
    <cfRule type="duplicateValues" dxfId="97" priority="1653"/>
    <cfRule type="duplicateValues" dxfId="96" priority="1652"/>
    <cfRule type="duplicateValues" dxfId="95" priority="1341"/>
  </conditionalFormatting>
  <conditionalFormatting sqref="BL36">
    <cfRule type="duplicateValues" dxfId="94" priority="990"/>
    <cfRule type="duplicateValues" dxfId="93" priority="991"/>
    <cfRule type="duplicateValues" dxfId="92" priority="984"/>
    <cfRule type="duplicateValues" dxfId="91" priority="992"/>
  </conditionalFormatting>
  <conditionalFormatting sqref="BL37">
    <cfRule type="duplicateValues" dxfId="90" priority="1304"/>
    <cfRule type="duplicateValues" dxfId="89" priority="1305"/>
    <cfRule type="duplicateValues" dxfId="88" priority="1301"/>
    <cfRule type="duplicateValues" dxfId="87" priority="1306"/>
    <cfRule type="duplicateValues" dxfId="86" priority="1299"/>
    <cfRule type="duplicateValues" dxfId="85" priority="1298"/>
  </conditionalFormatting>
  <conditionalFormatting sqref="BL39">
    <cfRule type="duplicateValues" dxfId="84" priority="1261"/>
    <cfRule type="duplicateValues" dxfId="83" priority="1262"/>
    <cfRule type="duplicateValues" dxfId="82" priority="1263"/>
  </conditionalFormatting>
  <conditionalFormatting sqref="BL40">
    <cfRule type="duplicateValues" dxfId="81" priority="1238"/>
    <cfRule type="duplicateValues" dxfId="80" priority="1240"/>
    <cfRule type="duplicateValues" dxfId="79" priority="1235"/>
    <cfRule type="duplicateValues" dxfId="78" priority="1236"/>
    <cfRule type="duplicateValues" dxfId="77" priority="1239"/>
    <cfRule type="duplicateValues" dxfId="76" priority="1237"/>
  </conditionalFormatting>
  <conditionalFormatting sqref="BL42">
    <cfRule type="duplicateValues" dxfId="75" priority="29217"/>
    <cfRule type="duplicateValues" dxfId="74" priority="29218"/>
    <cfRule type="duplicateValues" dxfId="73" priority="1167"/>
  </conditionalFormatting>
  <conditionalFormatting sqref="BL43">
    <cfRule type="duplicateValues" dxfId="72" priority="28840"/>
    <cfRule type="duplicateValues" dxfId="71" priority="28852"/>
    <cfRule type="duplicateValues" dxfId="70" priority="28851"/>
  </conditionalFormatting>
  <conditionalFormatting sqref="BL45">
    <cfRule type="duplicateValues" dxfId="69" priority="540"/>
    <cfRule type="duplicateValues" dxfId="68" priority="542"/>
    <cfRule type="duplicateValues" dxfId="67" priority="541"/>
  </conditionalFormatting>
  <conditionalFormatting sqref="BL46">
    <cfRule type="duplicateValues" dxfId="66" priority="465"/>
    <cfRule type="duplicateValues" dxfId="65" priority="471"/>
    <cfRule type="duplicateValues" dxfId="64" priority="472"/>
    <cfRule type="duplicateValues" dxfId="63" priority="473"/>
  </conditionalFormatting>
  <conditionalFormatting sqref="BL48">
    <cfRule type="duplicateValues" dxfId="62" priority="395"/>
    <cfRule type="duplicateValues" dxfId="61" priority="398"/>
    <cfRule type="duplicateValues" dxfId="60" priority="399"/>
  </conditionalFormatting>
  <conditionalFormatting sqref="BL49">
    <cfRule type="duplicateValues" dxfId="59" priority="311"/>
    <cfRule type="duplicateValues" dxfId="58" priority="309"/>
    <cfRule type="duplicateValues" dxfId="57" priority="310"/>
  </conditionalFormatting>
  <conditionalFormatting sqref="BL50:BL51">
    <cfRule type="duplicateValues" dxfId="56" priority="284"/>
    <cfRule type="duplicateValues" dxfId="55" priority="287"/>
    <cfRule type="duplicateValues" dxfId="54" priority="297"/>
    <cfRule type="duplicateValues" dxfId="53" priority="302"/>
    <cfRule type="duplicateValues" dxfId="52" priority="303"/>
    <cfRule type="duplicateValues" dxfId="51" priority="285"/>
  </conditionalFormatting>
  <conditionalFormatting sqref="BL52">
    <cfRule type="duplicateValues" dxfId="50" priority="30005"/>
    <cfRule type="duplicateValues" dxfId="49" priority="30004"/>
    <cfRule type="duplicateValues" dxfId="48" priority="30003"/>
  </conditionalFormatting>
  <conditionalFormatting sqref="BL53">
    <cfRule type="duplicateValues" dxfId="47" priority="227"/>
    <cfRule type="duplicateValues" dxfId="46" priority="226"/>
    <cfRule type="duplicateValues" dxfId="45" priority="225"/>
  </conditionalFormatting>
  <conditionalFormatting sqref="BL54">
    <cfRule type="duplicateValues" dxfId="44" priority="30049"/>
    <cfRule type="duplicateValues" dxfId="43" priority="30046"/>
    <cfRule type="duplicateValues" dxfId="42" priority="30050"/>
  </conditionalFormatting>
  <conditionalFormatting sqref="BL55">
    <cfRule type="duplicateValues" dxfId="41" priority="62"/>
    <cfRule type="duplicateValues" dxfId="40" priority="61"/>
    <cfRule type="duplicateValues" dxfId="39" priority="60"/>
  </conditionalFormatting>
  <conditionalFormatting sqref="BL56">
    <cfRule type="duplicateValues" dxfId="38" priority="99"/>
    <cfRule type="duplicateValues" dxfId="37" priority="97"/>
    <cfRule type="duplicateValues" dxfId="36" priority="98"/>
  </conditionalFormatting>
  <conditionalFormatting sqref="BL57 BL65">
    <cfRule type="duplicateValues" dxfId="35" priority="175"/>
    <cfRule type="duplicateValues" dxfId="34" priority="174"/>
    <cfRule type="duplicateValues" dxfId="33" priority="171"/>
  </conditionalFormatting>
  <conditionalFormatting sqref="BL58">
    <cfRule type="duplicateValues" dxfId="32" priority="76"/>
    <cfRule type="duplicateValues" dxfId="31" priority="75"/>
    <cfRule type="duplicateValues" dxfId="30" priority="74"/>
  </conditionalFormatting>
  <conditionalFormatting sqref="BL60">
    <cfRule type="duplicateValues" dxfId="29" priority="51"/>
    <cfRule type="duplicateValues" dxfId="28" priority="53"/>
    <cfRule type="duplicateValues" dxfId="27" priority="52"/>
  </conditionalFormatting>
  <conditionalFormatting sqref="BL61">
    <cfRule type="duplicateValues" dxfId="26" priority="33"/>
    <cfRule type="duplicateValues" dxfId="25" priority="34"/>
    <cfRule type="duplicateValues" dxfId="24" priority="35"/>
    <cfRule type="duplicateValues" dxfId="23" priority="27"/>
    <cfRule type="duplicateValues" dxfId="22" priority="28"/>
    <cfRule type="duplicateValues" dxfId="21" priority="30"/>
  </conditionalFormatting>
  <conditionalFormatting sqref="BL62:BL63">
    <cfRule type="duplicateValues" dxfId="20" priority="16"/>
    <cfRule type="duplicateValues" dxfId="19" priority="15"/>
    <cfRule type="duplicateValues" dxfId="18" priority="14"/>
  </conditionalFormatting>
  <conditionalFormatting sqref="BL64">
    <cfRule type="duplicateValues" dxfId="17" priority="1"/>
    <cfRule type="duplicateValues" dxfId="16" priority="2"/>
    <cfRule type="duplicateValues" dxfId="15" priority="3"/>
  </conditionalFormatting>
  <conditionalFormatting sqref="BL66">
    <cfRule type="duplicateValues" dxfId="14" priority="7007"/>
    <cfRule type="duplicateValues" dxfId="13" priority="7008"/>
    <cfRule type="duplicateValues" dxfId="12" priority="7010"/>
    <cfRule type="duplicateValues" dxfId="11" priority="7011"/>
  </conditionalFormatting>
  <conditionalFormatting sqref="BL67">
    <cfRule type="duplicateValues" dxfId="10" priority="7002"/>
    <cfRule type="duplicateValues" dxfId="9" priority="7001"/>
    <cfRule type="duplicateValues" dxfId="8" priority="7003"/>
  </conditionalFormatting>
  <conditionalFormatting sqref="BL68:BL74">
    <cfRule type="duplicateValues" dxfId="7" priority="7004"/>
    <cfRule type="duplicateValues" dxfId="6" priority="7005"/>
    <cfRule type="duplicateValues" dxfId="5" priority="7006"/>
  </conditionalFormatting>
  <conditionalFormatting sqref="BL75">
    <cfRule type="duplicateValues" dxfId="4" priority="6761"/>
    <cfRule type="duplicateValues" dxfId="3" priority="6762"/>
    <cfRule type="duplicateValues" dxfId="2" priority="6763"/>
  </conditionalFormatting>
  <conditionalFormatting sqref="BL76:BL1048576 BL1:BL7 BL66">
    <cfRule type="duplicateValues" dxfId="1" priority="7012"/>
  </conditionalFormatting>
  <conditionalFormatting sqref="BL76:BL1048576">
    <cfRule type="duplicateValues" dxfId="0" priority="7009"/>
  </conditionalFormatting>
  <dataValidations disablePrompts="1" count="1">
    <dataValidation type="list" allowBlank="1" showInputMessage="1" showErrorMessage="1" sqref="AS67:AS70 AS72:AS1048576" xr:uid="{00000000-0002-0000-0000-000000000000}">
      <formula1>"Paid, Pending"</formula1>
    </dataValidation>
  </dataValidations>
  <hyperlinks>
    <hyperlink ref="J40" r:id="rId1" xr:uid="{00000000-0004-0000-0000-000000000000}"/>
    <hyperlink ref="J39" r:id="rId2" xr:uid="{00000000-0004-0000-0000-000001000000}"/>
    <hyperlink ref="J38" r:id="rId3" xr:uid="{00000000-0004-0000-0000-000002000000}"/>
    <hyperlink ref="J9" r:id="rId4" xr:uid="{00000000-0004-0000-0000-000003000000}"/>
    <hyperlink ref="J43" r:id="rId5" xr:uid="{00000000-0004-0000-0000-000004000000}"/>
    <hyperlink ref="J10" r:id="rId6" display="priya.fineoteric@gmail.com" xr:uid="{00000000-0004-0000-0000-000005000000}"/>
    <hyperlink ref="J17" r:id="rId7" xr:uid="{00000000-0004-0000-0000-000006000000}"/>
    <hyperlink ref="J32" r:id="rId8" xr:uid="{00000000-0004-0000-0000-000007000000}"/>
    <hyperlink ref="J37" r:id="rId9" xr:uid="{00000000-0004-0000-0000-000008000000}"/>
    <hyperlink ref="J49" r:id="rId10" xr:uid="{00000000-0004-0000-0000-000009000000}"/>
    <hyperlink ref="J50" r:id="rId11" xr:uid="{00000000-0004-0000-0000-00000A000000}"/>
    <hyperlink ref="J31" r:id="rId12" xr:uid="{00000000-0004-0000-0000-00000B000000}"/>
    <hyperlink ref="J11" r:id="rId13" xr:uid="{00000000-0004-0000-0000-00000C000000}"/>
    <hyperlink ref="J19" r:id="rId14" xr:uid="{00000000-0004-0000-0000-00000D000000}"/>
    <hyperlink ref="J52" r:id="rId15" xr:uid="{00000000-0004-0000-0000-00000E000000}"/>
    <hyperlink ref="J53" r:id="rId16" xr:uid="{00000000-0004-0000-0000-00000F000000}"/>
    <hyperlink ref="J25" r:id="rId17" xr:uid="{00000000-0004-0000-0000-000010000000}"/>
    <hyperlink ref="J51" r:id="rId18" xr:uid="{00000000-0004-0000-0000-000011000000}"/>
    <hyperlink ref="J55" r:id="rId19" display="mailto:hatekarsanjeevni@gmail.com" xr:uid="{00000000-0004-0000-0000-000012000000}"/>
    <hyperlink ref="J56" r:id="rId20" xr:uid="{00000000-0004-0000-0000-000013000000}"/>
    <hyperlink ref="J22" r:id="rId21" xr:uid="{00000000-0004-0000-0000-000014000000}"/>
    <hyperlink ref="J58" r:id="rId22" xr:uid="{00000000-0004-0000-0000-000015000000}"/>
    <hyperlink ref="J54" r:id="rId23" xr:uid="{00000000-0004-0000-0000-000016000000}"/>
    <hyperlink ref="J57" r:id="rId24" xr:uid="{00000000-0004-0000-0000-000017000000}"/>
    <hyperlink ref="J59" r:id="rId25" xr:uid="{00000000-0004-0000-0000-000018000000}"/>
    <hyperlink ref="J62" r:id="rId26" xr:uid="{00000000-0004-0000-0000-000019000000}"/>
  </hyperlinks>
  <pageMargins left="0.7" right="0.7" top="0.75" bottom="0.75" header="0.3" footer="0.3"/>
  <pageSetup scale="60" fitToHeight="0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7"/>
  <sheetViews>
    <sheetView workbookViewId="0">
      <selection activeCell="H7" sqref="H7"/>
    </sheetView>
  </sheetViews>
  <sheetFormatPr defaultRowHeight="14.4" x14ac:dyDescent="0.3"/>
  <cols>
    <col min="1" max="1" width="13.109375" bestFit="1" customWidth="1"/>
    <col min="2" max="2" width="32.5546875" customWidth="1"/>
    <col min="3" max="3" width="18.5546875" customWidth="1"/>
  </cols>
  <sheetData>
    <row r="3" spans="1:3" x14ac:dyDescent="0.3">
      <c r="A3" s="105" t="s">
        <v>604</v>
      </c>
      <c r="B3" t="s">
        <v>607</v>
      </c>
      <c r="C3" t="s">
        <v>608</v>
      </c>
    </row>
    <row r="4" spans="1:3" x14ac:dyDescent="0.3">
      <c r="A4" s="106" t="s">
        <v>311</v>
      </c>
      <c r="B4">
        <v>933175</v>
      </c>
      <c r="C4">
        <v>912512</v>
      </c>
    </row>
    <row r="5" spans="1:3" x14ac:dyDescent="0.3">
      <c r="A5" s="106" t="s">
        <v>197</v>
      </c>
      <c r="B5">
        <v>715351</v>
      </c>
      <c r="C5">
        <v>696301</v>
      </c>
    </row>
    <row r="6" spans="1:3" x14ac:dyDescent="0.3">
      <c r="A6" s="106" t="s">
        <v>605</v>
      </c>
    </row>
    <row r="7" spans="1:3" x14ac:dyDescent="0.3">
      <c r="A7" s="106" t="s">
        <v>606</v>
      </c>
      <c r="B7">
        <v>1648526</v>
      </c>
      <c r="C7">
        <v>1608813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Sheet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Rupal Dave</cp:lastModifiedBy>
  <cp:lastPrinted>2024-12-02T08:50:19Z</cp:lastPrinted>
  <dcterms:created xsi:type="dcterms:W3CDTF">2022-12-14T07:38:56Z</dcterms:created>
  <dcterms:modified xsi:type="dcterms:W3CDTF">2026-06-19T08:19:49Z</dcterms:modified>
</cp:coreProperties>
</file>